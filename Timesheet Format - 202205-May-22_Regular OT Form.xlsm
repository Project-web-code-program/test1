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ORMAT\2022\"/>
    </mc:Choice>
  </mc:AlternateContent>
  <xr:revisionPtr revIDLastSave="0" documentId="13_ncr:1_{53CA0E97-1A39-4C7B-88FD-BBE718AEC3C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1" l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K5" i="2" l="1"/>
  <c r="F13" i="1"/>
  <c r="E11" i="11" s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D23" i="11"/>
  <c r="I11" i="11" l="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0" i="13" l="1"/>
  <c r="E53" i="1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<sst xmlns="http://schemas.openxmlformats.org/spreadsheetml/2006/main" count="610" uniqueCount="225">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</sst>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221</v>
      </c>
      <c r="B1" s="31"/>
    </row>
    <row r="3" spans="1:2" ht="20.100000000000001" customHeight="1" x14ac:dyDescent="0.25">
      <c r="A3" s="43" t="s">
        <v>222</v>
      </c>
    </row>
    <row r="4" spans="1:2" ht="20.100000000000001" customHeight="1" x14ac:dyDescent="0.25">
      <c r="A4" s="43" t="s">
        <v>134</v>
      </c>
    </row>
    <row r="5" spans="1:2" ht="20.100000000000001" customHeight="1" x14ac:dyDescent="0.25">
      <c r="A5" s="43" t="s">
        <v>155</v>
      </c>
    </row>
    <row r="6" spans="1:2" ht="20.100000000000001" customHeight="1" x14ac:dyDescent="0.25">
      <c r="A6" s="43" t="s">
        <v>156</v>
      </c>
    </row>
    <row r="7" spans="1:2" ht="20.100000000000001" customHeight="1" x14ac:dyDescent="0.25">
      <c r="A7" s="43" t="s">
        <v>157</v>
      </c>
    </row>
    <row r="8" spans="1:2" ht="20.100000000000001" customHeight="1" x14ac:dyDescent="0.25">
      <c r="A8" s="43" t="s">
        <v>223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158</v>
      </c>
    </row>
    <row r="11" spans="1:2" ht="20.100000000000001" customHeight="1" x14ac:dyDescent="0.25">
      <c r="A11" s="43" t="s">
        <v>163</v>
      </c>
    </row>
    <row r="12" spans="1:2" ht="20.100000000000001" customHeight="1" x14ac:dyDescent="0.25">
      <c r="A12" s="43" t="s">
        <v>164</v>
      </c>
    </row>
    <row r="13" spans="1:2" ht="20.100000000000001" customHeight="1" x14ac:dyDescent="0.25">
      <c r="A13" s="43" t="s">
        <v>165</v>
      </c>
    </row>
    <row r="14" spans="1:2" s="87" customFormat="1" ht="20.100000000000001" customHeight="1" x14ac:dyDescent="0.25">
      <c r="A14" s="43" t="s">
        <v>166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159</v>
      </c>
    </row>
    <row r="17" spans="1:6" s="87" customFormat="1" ht="20.100000000000001" customHeight="1" x14ac:dyDescent="0.25">
      <c r="A17" s="86" t="s">
        <v>160</v>
      </c>
    </row>
    <row r="18" spans="1:6" s="87" customFormat="1" ht="20.100000000000001" customHeight="1" x14ac:dyDescent="0.25">
      <c r="A18" s="86" t="s">
        <v>161</v>
      </c>
    </row>
    <row r="19" spans="1:6" s="87" customFormat="1" ht="20.100000000000001" customHeight="1" x14ac:dyDescent="0.25">
      <c r="A19" s="86" t="s">
        <v>162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167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2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30" x14ac:dyDescent="0.2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5" x14ac:dyDescent="0.2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2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5" x14ac:dyDescent="0.2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30" x14ac:dyDescent="0.2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25"/>
    <row r="63" spans="1:6" ht="20.100000000000001" customHeight="1" x14ac:dyDescent="0.25">
      <c r="A63" s="90" t="s">
        <v>168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00000000000001" customHeight="1" x14ac:dyDescent="0.2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00000000000001" customHeight="1" x14ac:dyDescent="0.2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00000000000001" customHeight="1" x14ac:dyDescent="0.2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00000000000001" customHeight="1" x14ac:dyDescent="0.2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00000000000001" customHeight="1" x14ac:dyDescent="0.2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00000000000001" customHeight="1" x14ac:dyDescent="0.2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00000000000001" customHeight="1" x14ac:dyDescent="0.2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00000000000001" customHeight="1" x14ac:dyDescent="0.2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2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00000000000001" customHeight="1" x14ac:dyDescent="0.2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00000000000001" customHeight="1" x14ac:dyDescent="0.2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00000000000001" customHeight="1" x14ac:dyDescent="0.2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00000000000001" customHeight="1" x14ac:dyDescent="0.2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2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2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2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140</v>
      </c>
    </row>
    <row r="23" spans="1:1" x14ac:dyDescent="0.25">
      <c r="A23" s="41" t="s">
        <v>141</v>
      </c>
    </row>
    <row r="48" spans="1:1" x14ac:dyDescent="0.2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J18" sqref="J18:M18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55" t="s">
        <v>0</v>
      </c>
      <c r="C2" s="155"/>
      <c r="D2" s="156"/>
      <c r="E2" s="156"/>
      <c r="F2" s="156"/>
      <c r="G2" s="156"/>
      <c r="H2" s="156"/>
      <c r="I2" s="156"/>
      <c r="J2" s="156"/>
      <c r="M2" s="11"/>
      <c r="N2" s="11"/>
      <c r="O2" s="11"/>
      <c r="R2" s="12"/>
    </row>
    <row r="3" spans="1:21" ht="15" customHeight="1" x14ac:dyDescent="0.25">
      <c r="B3" s="155" t="s">
        <v>1</v>
      </c>
      <c r="C3" s="155"/>
      <c r="D3" s="156"/>
      <c r="E3" s="156"/>
      <c r="F3" s="156"/>
      <c r="G3" s="156"/>
      <c r="H3" s="156"/>
      <c r="I3" s="156"/>
      <c r="J3" s="156"/>
      <c r="L3" s="13"/>
      <c r="R3" s="12"/>
    </row>
    <row r="4" spans="1:21" ht="15" customHeight="1" x14ac:dyDescent="0.25">
      <c r="B4" s="155" t="s">
        <v>2</v>
      </c>
      <c r="C4" s="155"/>
      <c r="D4" s="156"/>
      <c r="E4" s="156"/>
      <c r="F4" s="156"/>
      <c r="G4" s="156"/>
      <c r="H4" s="156"/>
      <c r="I4" s="156"/>
      <c r="J4" s="156"/>
      <c r="K4" s="14"/>
      <c r="L4" s="14"/>
      <c r="M4" s="14"/>
      <c r="R4" s="12"/>
      <c r="U4" s="69" t="s">
        <v>181</v>
      </c>
    </row>
    <row r="5" spans="1:21" ht="15" customHeight="1" x14ac:dyDescent="0.25">
      <c r="B5" s="122" t="s">
        <v>180</v>
      </c>
      <c r="C5" s="123"/>
      <c r="D5" s="124"/>
      <c r="E5" s="125"/>
      <c r="F5" s="125"/>
      <c r="G5" s="125"/>
      <c r="H5" s="125"/>
      <c r="I5" s="125"/>
      <c r="J5" s="126"/>
      <c r="K5" s="14"/>
      <c r="L5" s="14"/>
      <c r="M5" s="14"/>
      <c r="R5" s="12"/>
      <c r="U5" s="69" t="s">
        <v>182</v>
      </c>
    </row>
    <row r="6" spans="1:21" ht="15" customHeight="1" x14ac:dyDescent="0.25">
      <c r="B6" s="155" t="s">
        <v>65</v>
      </c>
      <c r="C6" s="155"/>
      <c r="D6" s="124"/>
      <c r="E6" s="125"/>
      <c r="F6" s="125"/>
      <c r="G6" s="125"/>
      <c r="H6" s="125"/>
      <c r="I6" s="125"/>
      <c r="J6" s="126"/>
      <c r="L6" s="11"/>
      <c r="M6" s="11"/>
      <c r="R6" s="12"/>
      <c r="U6" s="69" t="s">
        <v>183</v>
      </c>
    </row>
    <row r="7" spans="1:21" ht="15" customHeight="1" x14ac:dyDescent="0.25">
      <c r="B7" s="155" t="s">
        <v>3</v>
      </c>
      <c r="C7" s="155"/>
      <c r="D7" s="157">
        <v>44682</v>
      </c>
      <c r="E7" s="157"/>
      <c r="F7" s="157"/>
      <c r="G7" s="157"/>
      <c r="H7" s="157"/>
      <c r="I7" s="157"/>
      <c r="J7" s="157"/>
      <c r="K7" s="11"/>
      <c r="L7" s="11"/>
      <c r="R7" s="12"/>
    </row>
    <row r="8" spans="1:21" ht="15.75" customHeight="1" x14ac:dyDescent="0.25">
      <c r="B8" s="155" t="s">
        <v>220</v>
      </c>
      <c r="C8" s="155"/>
      <c r="D8" s="198"/>
      <c r="E8" s="199"/>
      <c r="F8" s="199"/>
      <c r="G8" s="199"/>
      <c r="H8" s="199"/>
      <c r="I8" s="199"/>
      <c r="J8" s="200"/>
      <c r="K8" s="193"/>
      <c r="L8" s="193"/>
      <c r="M8" s="193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94"/>
      <c r="L9" s="194"/>
      <c r="M9" s="194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95" t="s">
        <v>10</v>
      </c>
      <c r="K10" s="196"/>
      <c r="L10" s="196"/>
      <c r="M10" s="197"/>
      <c r="N10" s="137" t="s">
        <v>15</v>
      </c>
      <c r="O10" s="137"/>
      <c r="P10" s="137"/>
      <c r="Q10" s="137"/>
      <c r="R10" s="137"/>
      <c r="S10" s="68"/>
      <c r="U10" s="114"/>
    </row>
    <row r="11" spans="1:21" s="65" customFormat="1" ht="18" customHeight="1" x14ac:dyDescent="0.3">
      <c r="A11" s="66"/>
      <c r="B11" s="153" t="str">
        <f>CHOOSE(WEEKDAY(C11),"Sunday","Monday","Tuesday","Wednesday","Thursday","Friday","Saturday")</f>
        <v>Sunday</v>
      </c>
      <c r="C11" s="201">
        <f>D7</f>
        <v>44682</v>
      </c>
      <c r="D11" s="117"/>
      <c r="E11" s="117"/>
      <c r="F11" s="145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7" t="s">
        <v>206</v>
      </c>
      <c r="H11" s="13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5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32"/>
      <c r="K11" s="133"/>
      <c r="L11" s="133"/>
      <c r="M11" s="134"/>
      <c r="N11" s="135"/>
      <c r="O11" s="135"/>
      <c r="P11" s="135"/>
      <c r="Q11" s="135"/>
      <c r="R11" s="135"/>
      <c r="S11" s="98"/>
      <c r="T11" s="136"/>
      <c r="U11" s="114"/>
    </row>
    <row r="12" spans="1:21" s="65" customFormat="1" ht="18" customHeight="1" x14ac:dyDescent="0.3">
      <c r="A12" s="66"/>
      <c r="B12" s="154"/>
      <c r="C12" s="202"/>
      <c r="D12" s="117"/>
      <c r="E12" s="117"/>
      <c r="F12" s="146"/>
      <c r="G12" s="148"/>
      <c r="H12" s="139"/>
      <c r="I12" s="146"/>
      <c r="J12" s="132"/>
      <c r="K12" s="133"/>
      <c r="L12" s="133"/>
      <c r="M12" s="134"/>
      <c r="N12" s="135"/>
      <c r="O12" s="135"/>
      <c r="P12" s="135"/>
      <c r="Q12" s="135"/>
      <c r="R12" s="135"/>
      <c r="S12" s="74"/>
      <c r="T12" s="136"/>
      <c r="U12" s="114"/>
    </row>
    <row r="13" spans="1:21" s="65" customFormat="1" ht="18" customHeight="1" x14ac:dyDescent="0.3">
      <c r="B13" s="153" t="str">
        <f t="shared" ref="B13:B69" si="2">CHOOSE(WEEKDAY(C13),"Sunday","Monday","Tuesday","Wednesday","Thursday","Friday","Saturday")</f>
        <v>Monday</v>
      </c>
      <c r="C13" s="150">
        <f>C11+1</f>
        <v>44683</v>
      </c>
      <c r="D13" s="117"/>
      <c r="E13" s="117"/>
      <c r="F13" s="145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7" t="s">
        <v>206</v>
      </c>
      <c r="H13" s="139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5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32"/>
      <c r="K13" s="133"/>
      <c r="L13" s="133"/>
      <c r="M13" s="134"/>
      <c r="N13" s="135"/>
      <c r="O13" s="135"/>
      <c r="P13" s="135"/>
      <c r="Q13" s="135"/>
      <c r="R13" s="135"/>
      <c r="S13" s="74"/>
      <c r="T13" s="75"/>
      <c r="U13" s="114"/>
    </row>
    <row r="14" spans="1:21" s="65" customFormat="1" ht="18" customHeight="1" x14ac:dyDescent="0.3">
      <c r="B14" s="154"/>
      <c r="C14" s="150"/>
      <c r="D14" s="117"/>
      <c r="E14" s="117"/>
      <c r="F14" s="146"/>
      <c r="G14" s="148"/>
      <c r="H14" s="139"/>
      <c r="I14" s="146"/>
      <c r="J14" s="132"/>
      <c r="K14" s="133"/>
      <c r="L14" s="133"/>
      <c r="M14" s="134"/>
      <c r="N14" s="135"/>
      <c r="O14" s="135"/>
      <c r="P14" s="135"/>
      <c r="Q14" s="135"/>
      <c r="R14" s="135"/>
      <c r="S14" s="74"/>
      <c r="T14" s="75"/>
      <c r="U14" s="114"/>
    </row>
    <row r="15" spans="1:21" s="65" customFormat="1" ht="18" customHeight="1" x14ac:dyDescent="0.3">
      <c r="B15" s="153" t="str">
        <f t="shared" si="2"/>
        <v>Tuesday</v>
      </c>
      <c r="C15" s="150">
        <f t="shared" ref="C15" si="5">C13+1</f>
        <v>44684</v>
      </c>
      <c r="D15" s="117"/>
      <c r="E15" s="117"/>
      <c r="F15" s="145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7" t="s">
        <v>206</v>
      </c>
      <c r="H15" s="139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5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32"/>
      <c r="K15" s="133"/>
      <c r="L15" s="133"/>
      <c r="M15" s="134"/>
      <c r="N15" s="138"/>
      <c r="O15" s="135"/>
      <c r="P15" s="135"/>
      <c r="Q15" s="135"/>
      <c r="R15" s="135"/>
      <c r="S15" s="73"/>
      <c r="T15" s="75"/>
      <c r="U15" s="114"/>
    </row>
    <row r="16" spans="1:21" s="65" customFormat="1" ht="18" customHeight="1" x14ac:dyDescent="0.3">
      <c r="B16" s="154"/>
      <c r="C16" s="150"/>
      <c r="D16" s="117"/>
      <c r="E16" s="117"/>
      <c r="F16" s="146"/>
      <c r="G16" s="148"/>
      <c r="H16" s="139"/>
      <c r="I16" s="146"/>
      <c r="J16" s="132"/>
      <c r="K16" s="133"/>
      <c r="L16" s="133"/>
      <c r="M16" s="134"/>
      <c r="N16" s="135"/>
      <c r="O16" s="135"/>
      <c r="P16" s="135"/>
      <c r="Q16" s="135"/>
      <c r="R16" s="135"/>
      <c r="S16" s="73"/>
      <c r="U16" s="114"/>
    </row>
    <row r="17" spans="2:21" s="65" customFormat="1" ht="18" customHeight="1" x14ac:dyDescent="0.3">
      <c r="B17" s="151" t="str">
        <f t="shared" si="2"/>
        <v>Wednesday</v>
      </c>
      <c r="C17" s="149">
        <f t="shared" ref="C17" si="8">C15+1</f>
        <v>44685</v>
      </c>
      <c r="D17" s="39"/>
      <c r="E17" s="39"/>
      <c r="F17" s="143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1" t="s">
        <v>206</v>
      </c>
      <c r="H17" s="14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3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7"/>
      <c r="K17" s="128"/>
      <c r="L17" s="128"/>
      <c r="M17" s="129"/>
      <c r="N17" s="130"/>
      <c r="O17" s="131"/>
      <c r="P17" s="131"/>
      <c r="Q17" s="131"/>
      <c r="R17" s="131"/>
      <c r="S17" s="73"/>
      <c r="T17" s="68"/>
      <c r="U17" s="116"/>
    </row>
    <row r="18" spans="2:21" s="65" customFormat="1" ht="18" customHeight="1" x14ac:dyDescent="0.3">
      <c r="B18" s="152"/>
      <c r="C18" s="149"/>
      <c r="D18" s="39"/>
      <c r="E18" s="39"/>
      <c r="F18" s="144"/>
      <c r="G18" s="142"/>
      <c r="H18" s="140"/>
      <c r="I18" s="144"/>
      <c r="J18" s="127"/>
      <c r="K18" s="128"/>
      <c r="L18" s="128"/>
      <c r="M18" s="129"/>
      <c r="N18" s="130"/>
      <c r="O18" s="131"/>
      <c r="P18" s="131"/>
      <c r="Q18" s="131"/>
      <c r="R18" s="131"/>
      <c r="S18" s="73"/>
      <c r="T18" s="68"/>
      <c r="U18" s="116"/>
    </row>
    <row r="19" spans="2:21" s="66" customFormat="1" ht="18" customHeight="1" x14ac:dyDescent="0.3">
      <c r="B19" s="151" t="str">
        <f t="shared" si="2"/>
        <v>Thursday</v>
      </c>
      <c r="C19" s="149">
        <f t="shared" ref="C19" si="11">C17+1</f>
        <v>44686</v>
      </c>
      <c r="D19" s="39"/>
      <c r="E19" s="39"/>
      <c r="F19" s="143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1" t="s">
        <v>206</v>
      </c>
      <c r="H19" s="140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3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7"/>
      <c r="K19" s="128"/>
      <c r="L19" s="128"/>
      <c r="M19" s="129"/>
      <c r="N19" s="130"/>
      <c r="O19" s="131"/>
      <c r="P19" s="131"/>
      <c r="Q19" s="131"/>
      <c r="R19" s="131"/>
      <c r="S19" s="73"/>
      <c r="U19" s="116"/>
    </row>
    <row r="20" spans="2:21" s="66" customFormat="1" ht="18" customHeight="1" x14ac:dyDescent="0.3">
      <c r="B20" s="152"/>
      <c r="C20" s="149"/>
      <c r="D20" s="39"/>
      <c r="E20" s="39"/>
      <c r="F20" s="144"/>
      <c r="G20" s="142"/>
      <c r="H20" s="140"/>
      <c r="I20" s="144"/>
      <c r="J20" s="127"/>
      <c r="K20" s="128"/>
      <c r="L20" s="128"/>
      <c r="M20" s="129"/>
      <c r="N20" s="130"/>
      <c r="O20" s="131"/>
      <c r="P20" s="131"/>
      <c r="Q20" s="131"/>
      <c r="R20" s="131"/>
      <c r="S20" s="73"/>
      <c r="U20" s="115"/>
    </row>
    <row r="21" spans="2:21" s="66" customFormat="1" ht="18" customHeight="1" x14ac:dyDescent="0.3">
      <c r="B21" s="151" t="str">
        <f t="shared" si="2"/>
        <v>Friday</v>
      </c>
      <c r="C21" s="149">
        <f t="shared" ref="C21" si="14">C19+1</f>
        <v>44687</v>
      </c>
      <c r="D21" s="39"/>
      <c r="E21" s="39"/>
      <c r="F21" s="143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1" t="s">
        <v>206</v>
      </c>
      <c r="H21" s="140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3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7"/>
      <c r="K21" s="128"/>
      <c r="L21" s="128"/>
      <c r="M21" s="129"/>
      <c r="N21" s="130"/>
      <c r="O21" s="131"/>
      <c r="P21" s="131"/>
      <c r="Q21" s="131"/>
      <c r="R21" s="131"/>
      <c r="U21" s="115"/>
    </row>
    <row r="22" spans="2:21" s="66" customFormat="1" ht="18" customHeight="1" x14ac:dyDescent="0.3">
      <c r="B22" s="152"/>
      <c r="C22" s="149"/>
      <c r="D22" s="39"/>
      <c r="E22" s="39"/>
      <c r="F22" s="144"/>
      <c r="G22" s="142"/>
      <c r="H22" s="140"/>
      <c r="I22" s="144"/>
      <c r="J22" s="127"/>
      <c r="K22" s="128"/>
      <c r="L22" s="128"/>
      <c r="M22" s="129"/>
      <c r="N22" s="131"/>
      <c r="O22" s="131"/>
      <c r="P22" s="131"/>
      <c r="Q22" s="131"/>
      <c r="R22" s="131"/>
      <c r="U22" s="115"/>
    </row>
    <row r="23" spans="2:21" s="66" customFormat="1" ht="18" customHeight="1" x14ac:dyDescent="0.3">
      <c r="B23" s="153" t="str">
        <f t="shared" si="2"/>
        <v>Saturday</v>
      </c>
      <c r="C23" s="150">
        <f t="shared" ref="C23" si="17">C21+1</f>
        <v>44688</v>
      </c>
      <c r="D23" s="117"/>
      <c r="E23" s="117"/>
      <c r="F23" s="145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7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5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32"/>
      <c r="K23" s="133"/>
      <c r="L23" s="133"/>
      <c r="M23" s="134"/>
      <c r="N23" s="138"/>
      <c r="O23" s="135"/>
      <c r="P23" s="135"/>
      <c r="Q23" s="135"/>
      <c r="R23" s="135"/>
      <c r="U23" s="115"/>
    </row>
    <row r="24" spans="2:21" s="66" customFormat="1" ht="18" customHeight="1" x14ac:dyDescent="0.3">
      <c r="B24" s="154"/>
      <c r="C24" s="150"/>
      <c r="D24" s="117"/>
      <c r="E24" s="117"/>
      <c r="F24" s="146"/>
      <c r="G24" s="148"/>
      <c r="H24" s="139"/>
      <c r="I24" s="146"/>
      <c r="J24" s="132"/>
      <c r="K24" s="133"/>
      <c r="L24" s="133"/>
      <c r="M24" s="134"/>
      <c r="N24" s="135"/>
      <c r="O24" s="135"/>
      <c r="P24" s="135"/>
      <c r="Q24" s="135"/>
      <c r="R24" s="135"/>
      <c r="U24" s="115"/>
    </row>
    <row r="25" spans="2:21" s="66" customFormat="1" ht="18" customHeight="1" x14ac:dyDescent="0.3">
      <c r="B25" s="153" t="str">
        <f t="shared" si="2"/>
        <v>Sunday</v>
      </c>
      <c r="C25" s="150">
        <f t="shared" ref="C25" si="20">C23+1</f>
        <v>44689</v>
      </c>
      <c r="D25" s="117"/>
      <c r="E25" s="117"/>
      <c r="F25" s="145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7" t="s">
        <v>206</v>
      </c>
      <c r="H25" s="13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5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32"/>
      <c r="K25" s="133"/>
      <c r="L25" s="133"/>
      <c r="M25" s="134"/>
      <c r="N25" s="135"/>
      <c r="O25" s="135"/>
      <c r="P25" s="135"/>
      <c r="Q25" s="135"/>
      <c r="R25" s="135"/>
      <c r="U25" s="115"/>
    </row>
    <row r="26" spans="2:21" s="66" customFormat="1" ht="18" customHeight="1" x14ac:dyDescent="0.3">
      <c r="B26" s="154"/>
      <c r="C26" s="150"/>
      <c r="D26" s="117"/>
      <c r="E26" s="117"/>
      <c r="F26" s="146"/>
      <c r="G26" s="148"/>
      <c r="H26" s="139"/>
      <c r="I26" s="146"/>
      <c r="J26" s="132"/>
      <c r="K26" s="133"/>
      <c r="L26" s="133"/>
      <c r="M26" s="134"/>
      <c r="N26" s="135"/>
      <c r="O26" s="135"/>
      <c r="P26" s="135"/>
      <c r="Q26" s="135"/>
      <c r="R26" s="135"/>
      <c r="U26" s="115"/>
    </row>
    <row r="27" spans="2:21" s="66" customFormat="1" ht="18" customHeight="1" x14ac:dyDescent="0.3">
      <c r="B27" s="151" t="str">
        <f t="shared" si="2"/>
        <v>Monday</v>
      </c>
      <c r="C27" s="149">
        <f t="shared" ref="C27" si="23">C25+1</f>
        <v>44690</v>
      </c>
      <c r="D27" s="39"/>
      <c r="E27" s="39"/>
      <c r="F27" s="143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1" t="s">
        <v>206</v>
      </c>
      <c r="H27" s="14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3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7"/>
      <c r="K27" s="128"/>
      <c r="L27" s="128"/>
      <c r="M27" s="129"/>
      <c r="N27" s="131"/>
      <c r="O27" s="131"/>
      <c r="P27" s="131"/>
      <c r="Q27" s="131"/>
      <c r="R27" s="131"/>
      <c r="U27" s="115"/>
    </row>
    <row r="28" spans="2:21" s="66" customFormat="1" ht="18" customHeight="1" x14ac:dyDescent="0.3">
      <c r="B28" s="152"/>
      <c r="C28" s="149"/>
      <c r="D28" s="39"/>
      <c r="E28" s="39"/>
      <c r="F28" s="144"/>
      <c r="G28" s="142"/>
      <c r="H28" s="140"/>
      <c r="I28" s="144"/>
      <c r="J28" s="127"/>
      <c r="K28" s="128"/>
      <c r="L28" s="128"/>
      <c r="M28" s="129"/>
      <c r="N28" s="131"/>
      <c r="O28" s="131"/>
      <c r="P28" s="131"/>
      <c r="Q28" s="131"/>
      <c r="R28" s="131"/>
      <c r="U28" s="115"/>
    </row>
    <row r="29" spans="2:21" s="66" customFormat="1" ht="18" customHeight="1" x14ac:dyDescent="0.3">
      <c r="B29" s="151" t="str">
        <f t="shared" si="2"/>
        <v>Tuesday</v>
      </c>
      <c r="C29" s="149">
        <f t="shared" ref="C29" si="26">C27+1</f>
        <v>44691</v>
      </c>
      <c r="D29" s="39"/>
      <c r="E29" s="39"/>
      <c r="F29" s="143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1" t="s">
        <v>206</v>
      </c>
      <c r="H29" s="14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3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7"/>
      <c r="K29" s="128"/>
      <c r="L29" s="128"/>
      <c r="M29" s="129"/>
      <c r="N29" s="130"/>
      <c r="O29" s="131"/>
      <c r="P29" s="131"/>
      <c r="Q29" s="131"/>
      <c r="R29" s="131"/>
      <c r="U29" s="115"/>
    </row>
    <row r="30" spans="2:21" s="66" customFormat="1" ht="18" customHeight="1" x14ac:dyDescent="0.3">
      <c r="B30" s="152"/>
      <c r="C30" s="149"/>
      <c r="D30" s="39"/>
      <c r="E30" s="39"/>
      <c r="F30" s="144"/>
      <c r="G30" s="142"/>
      <c r="H30" s="140"/>
      <c r="I30" s="144"/>
      <c r="J30" s="127"/>
      <c r="K30" s="128"/>
      <c r="L30" s="128"/>
      <c r="M30" s="129"/>
      <c r="N30" s="131"/>
      <c r="O30" s="131"/>
      <c r="P30" s="131"/>
      <c r="Q30" s="131"/>
      <c r="R30" s="131"/>
      <c r="U30" s="115"/>
    </row>
    <row r="31" spans="2:21" s="66" customFormat="1" ht="18" customHeight="1" x14ac:dyDescent="0.3">
      <c r="B31" s="151" t="str">
        <f t="shared" si="2"/>
        <v>Wednesday</v>
      </c>
      <c r="C31" s="149">
        <f t="shared" ref="C31" si="29">C29+1</f>
        <v>44692</v>
      </c>
      <c r="D31" s="39"/>
      <c r="E31" s="39"/>
      <c r="F31" s="143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1" t="s">
        <v>206</v>
      </c>
      <c r="H31" s="140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3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7"/>
      <c r="K31" s="128"/>
      <c r="L31" s="128"/>
      <c r="M31" s="129"/>
      <c r="N31" s="130"/>
      <c r="O31" s="131"/>
      <c r="P31" s="131"/>
      <c r="Q31" s="131"/>
      <c r="R31" s="131"/>
      <c r="U31" s="115"/>
    </row>
    <row r="32" spans="2:21" s="66" customFormat="1" ht="18" customHeight="1" x14ac:dyDescent="0.3">
      <c r="B32" s="152"/>
      <c r="C32" s="149"/>
      <c r="D32" s="39"/>
      <c r="E32" s="39"/>
      <c r="F32" s="144"/>
      <c r="G32" s="142"/>
      <c r="H32" s="140"/>
      <c r="I32" s="144"/>
      <c r="J32" s="127"/>
      <c r="K32" s="128"/>
      <c r="L32" s="128"/>
      <c r="M32" s="129"/>
      <c r="N32" s="130"/>
      <c r="O32" s="131"/>
      <c r="P32" s="131"/>
      <c r="Q32" s="131"/>
      <c r="R32" s="131"/>
      <c r="U32" s="115"/>
    </row>
    <row r="33" spans="2:21" s="66" customFormat="1" ht="18" customHeight="1" x14ac:dyDescent="0.3">
      <c r="B33" s="151" t="str">
        <f t="shared" si="2"/>
        <v>Thursday</v>
      </c>
      <c r="C33" s="149">
        <f t="shared" ref="C33" si="32">C31+1</f>
        <v>44693</v>
      </c>
      <c r="D33" s="39"/>
      <c r="E33" s="39"/>
      <c r="F33" s="143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1" t="s">
        <v>206</v>
      </c>
      <c r="H33" s="140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3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7"/>
      <c r="K33" s="128"/>
      <c r="L33" s="128"/>
      <c r="M33" s="129"/>
      <c r="N33" s="130"/>
      <c r="O33" s="131"/>
      <c r="P33" s="131"/>
      <c r="Q33" s="131"/>
      <c r="R33" s="131"/>
      <c r="U33" s="115"/>
    </row>
    <row r="34" spans="2:21" s="66" customFormat="1" ht="18" customHeight="1" x14ac:dyDescent="0.3">
      <c r="B34" s="152"/>
      <c r="C34" s="149"/>
      <c r="D34" s="39"/>
      <c r="E34" s="39"/>
      <c r="F34" s="144"/>
      <c r="G34" s="142"/>
      <c r="H34" s="140"/>
      <c r="I34" s="144"/>
      <c r="J34" s="127"/>
      <c r="K34" s="128"/>
      <c r="L34" s="128"/>
      <c r="M34" s="129"/>
      <c r="N34" s="130"/>
      <c r="O34" s="131"/>
      <c r="P34" s="131"/>
      <c r="Q34" s="131"/>
      <c r="R34" s="131"/>
      <c r="U34" s="115"/>
    </row>
    <row r="35" spans="2:21" s="66" customFormat="1" ht="18" customHeight="1" x14ac:dyDescent="0.3">
      <c r="B35" s="151" t="str">
        <f t="shared" si="2"/>
        <v>Friday</v>
      </c>
      <c r="C35" s="149">
        <f t="shared" ref="C35" si="35">C33+1</f>
        <v>44694</v>
      </c>
      <c r="D35" s="39"/>
      <c r="E35" s="39"/>
      <c r="F35" s="143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1" t="s">
        <v>206</v>
      </c>
      <c r="H35" s="140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3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7"/>
      <c r="K35" s="128"/>
      <c r="L35" s="128"/>
      <c r="M35" s="129"/>
      <c r="N35" s="130"/>
      <c r="O35" s="131"/>
      <c r="P35" s="131"/>
      <c r="Q35" s="131"/>
      <c r="R35" s="131"/>
      <c r="S35" s="85"/>
      <c r="T35" s="85"/>
      <c r="U35" s="115"/>
    </row>
    <row r="36" spans="2:21" s="66" customFormat="1" ht="18" customHeight="1" x14ac:dyDescent="0.3">
      <c r="B36" s="152"/>
      <c r="C36" s="149"/>
      <c r="D36" s="39"/>
      <c r="E36" s="39"/>
      <c r="F36" s="144"/>
      <c r="G36" s="142"/>
      <c r="H36" s="140"/>
      <c r="I36" s="144"/>
      <c r="J36" s="127"/>
      <c r="K36" s="128"/>
      <c r="L36" s="128"/>
      <c r="M36" s="129"/>
      <c r="N36" s="131"/>
      <c r="O36" s="131"/>
      <c r="P36" s="131"/>
      <c r="Q36" s="131"/>
      <c r="R36" s="131"/>
      <c r="S36" s="85"/>
      <c r="T36" s="85"/>
      <c r="U36" s="115"/>
    </row>
    <row r="37" spans="2:21" s="66" customFormat="1" ht="18" customHeight="1" x14ac:dyDescent="0.3">
      <c r="B37" s="153" t="str">
        <f t="shared" si="2"/>
        <v>Saturday</v>
      </c>
      <c r="C37" s="150">
        <f t="shared" ref="C37" si="36">C35+1</f>
        <v>44695</v>
      </c>
      <c r="D37" s="117"/>
      <c r="E37" s="117"/>
      <c r="F37" s="145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7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5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32"/>
      <c r="K37" s="133"/>
      <c r="L37" s="133"/>
      <c r="M37" s="134"/>
      <c r="N37" s="135"/>
      <c r="O37" s="135"/>
      <c r="P37" s="135"/>
      <c r="Q37" s="135"/>
      <c r="R37" s="135"/>
      <c r="S37" s="85"/>
      <c r="T37" s="85"/>
      <c r="U37" s="115"/>
    </row>
    <row r="38" spans="2:21" s="66" customFormat="1" ht="18" customHeight="1" x14ac:dyDescent="0.3">
      <c r="B38" s="154"/>
      <c r="C38" s="150"/>
      <c r="D38" s="117"/>
      <c r="E38" s="117"/>
      <c r="F38" s="146"/>
      <c r="G38" s="148"/>
      <c r="H38" s="139"/>
      <c r="I38" s="146"/>
      <c r="J38" s="132"/>
      <c r="K38" s="133"/>
      <c r="L38" s="133"/>
      <c r="M38" s="134"/>
      <c r="N38" s="135"/>
      <c r="O38" s="135"/>
      <c r="P38" s="135"/>
      <c r="Q38" s="135"/>
      <c r="R38" s="135"/>
      <c r="S38" s="85"/>
      <c r="T38" s="85"/>
      <c r="U38" s="115"/>
    </row>
    <row r="39" spans="2:21" s="66" customFormat="1" ht="18" customHeight="1" x14ac:dyDescent="0.3">
      <c r="B39" s="153" t="str">
        <f t="shared" si="2"/>
        <v>Sunday</v>
      </c>
      <c r="C39" s="150">
        <f t="shared" ref="C39" si="39">C37+1</f>
        <v>44696</v>
      </c>
      <c r="D39" s="117"/>
      <c r="E39" s="117"/>
      <c r="F39" s="145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7" t="s">
        <v>206</v>
      </c>
      <c r="H39" s="13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5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32"/>
      <c r="K39" s="133"/>
      <c r="L39" s="133"/>
      <c r="M39" s="134"/>
      <c r="N39" s="135"/>
      <c r="O39" s="135"/>
      <c r="P39" s="135"/>
      <c r="Q39" s="135"/>
      <c r="R39" s="135"/>
      <c r="U39" s="115"/>
    </row>
    <row r="40" spans="2:21" s="66" customFormat="1" ht="18" customHeight="1" x14ac:dyDescent="0.3">
      <c r="B40" s="154"/>
      <c r="C40" s="150"/>
      <c r="D40" s="117"/>
      <c r="E40" s="117"/>
      <c r="F40" s="146"/>
      <c r="G40" s="148"/>
      <c r="H40" s="139"/>
      <c r="I40" s="146"/>
      <c r="J40" s="132"/>
      <c r="K40" s="133"/>
      <c r="L40" s="133"/>
      <c r="M40" s="134"/>
      <c r="N40" s="135"/>
      <c r="O40" s="135"/>
      <c r="P40" s="135"/>
      <c r="Q40" s="135"/>
      <c r="R40" s="135"/>
      <c r="U40" s="115"/>
    </row>
    <row r="41" spans="2:21" s="66" customFormat="1" ht="18" customHeight="1" x14ac:dyDescent="0.3">
      <c r="B41" s="153" t="str">
        <f t="shared" si="2"/>
        <v>Monday</v>
      </c>
      <c r="C41" s="150">
        <f t="shared" ref="C41" si="42">C39+1</f>
        <v>44697</v>
      </c>
      <c r="D41" s="117"/>
      <c r="E41" s="117"/>
      <c r="F41" s="145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7" t="s">
        <v>206</v>
      </c>
      <c r="H41" s="139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5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32"/>
      <c r="K41" s="133"/>
      <c r="L41" s="133"/>
      <c r="M41" s="134"/>
      <c r="N41" s="135"/>
      <c r="O41" s="135"/>
      <c r="P41" s="135"/>
      <c r="Q41" s="135"/>
      <c r="R41" s="135"/>
      <c r="U41" s="115"/>
    </row>
    <row r="42" spans="2:21" s="66" customFormat="1" ht="18" customHeight="1" x14ac:dyDescent="0.3">
      <c r="B42" s="154"/>
      <c r="C42" s="150"/>
      <c r="D42" s="117"/>
      <c r="E42" s="117"/>
      <c r="F42" s="146"/>
      <c r="G42" s="148"/>
      <c r="H42" s="139"/>
      <c r="I42" s="146"/>
      <c r="J42" s="132"/>
      <c r="K42" s="133"/>
      <c r="L42" s="133"/>
      <c r="M42" s="134"/>
      <c r="N42" s="135"/>
      <c r="O42" s="135"/>
      <c r="P42" s="135"/>
      <c r="Q42" s="135"/>
      <c r="R42" s="135"/>
      <c r="U42" s="115"/>
    </row>
    <row r="43" spans="2:21" s="66" customFormat="1" ht="18" customHeight="1" x14ac:dyDescent="0.3">
      <c r="B43" s="151" t="str">
        <f t="shared" si="2"/>
        <v>Tuesday</v>
      </c>
      <c r="C43" s="149">
        <f t="shared" ref="C43" si="45">C41+1</f>
        <v>44698</v>
      </c>
      <c r="D43" s="39"/>
      <c r="E43" s="39"/>
      <c r="F43" s="143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1" t="s">
        <v>206</v>
      </c>
      <c r="H43" s="14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3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7"/>
      <c r="K43" s="128"/>
      <c r="L43" s="128"/>
      <c r="M43" s="129"/>
      <c r="N43" s="130"/>
      <c r="O43" s="131"/>
      <c r="P43" s="131"/>
      <c r="Q43" s="131"/>
      <c r="R43" s="131"/>
      <c r="U43" s="115"/>
    </row>
    <row r="44" spans="2:21" s="66" customFormat="1" ht="18" customHeight="1" x14ac:dyDescent="0.3">
      <c r="B44" s="152"/>
      <c r="C44" s="149"/>
      <c r="D44" s="39"/>
      <c r="E44" s="39"/>
      <c r="F44" s="144"/>
      <c r="G44" s="142"/>
      <c r="H44" s="140"/>
      <c r="I44" s="144"/>
      <c r="J44" s="127"/>
      <c r="K44" s="128"/>
      <c r="L44" s="128"/>
      <c r="M44" s="129"/>
      <c r="N44" s="131"/>
      <c r="O44" s="131"/>
      <c r="P44" s="131"/>
      <c r="Q44" s="131"/>
      <c r="R44" s="131"/>
      <c r="U44" s="115"/>
    </row>
    <row r="45" spans="2:21" s="66" customFormat="1" ht="18" customHeight="1" x14ac:dyDescent="0.3">
      <c r="B45" s="151" t="str">
        <f t="shared" si="2"/>
        <v>Wednesday</v>
      </c>
      <c r="C45" s="149">
        <f t="shared" ref="C45" si="48">C43+1</f>
        <v>44699</v>
      </c>
      <c r="D45" s="39"/>
      <c r="E45" s="39"/>
      <c r="F45" s="143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1" t="s">
        <v>206</v>
      </c>
      <c r="H45" s="14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3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7"/>
      <c r="K45" s="128"/>
      <c r="L45" s="128"/>
      <c r="M45" s="129"/>
      <c r="N45" s="130"/>
      <c r="O45" s="131"/>
      <c r="P45" s="131"/>
      <c r="Q45" s="131"/>
      <c r="R45" s="131"/>
      <c r="U45" s="115"/>
    </row>
    <row r="46" spans="2:21" s="66" customFormat="1" ht="18" customHeight="1" x14ac:dyDescent="0.3">
      <c r="B46" s="152"/>
      <c r="C46" s="149"/>
      <c r="D46" s="39"/>
      <c r="E46" s="39"/>
      <c r="F46" s="144"/>
      <c r="G46" s="142"/>
      <c r="H46" s="140"/>
      <c r="I46" s="144"/>
      <c r="J46" s="127"/>
      <c r="K46" s="128"/>
      <c r="L46" s="128"/>
      <c r="M46" s="129"/>
      <c r="N46" s="130"/>
      <c r="O46" s="131"/>
      <c r="P46" s="131"/>
      <c r="Q46" s="131"/>
      <c r="R46" s="131"/>
      <c r="U46" s="115"/>
    </row>
    <row r="47" spans="2:21" s="66" customFormat="1" ht="18" customHeight="1" x14ac:dyDescent="0.3">
      <c r="B47" s="151" t="str">
        <f t="shared" si="2"/>
        <v>Thursday</v>
      </c>
      <c r="C47" s="149">
        <f t="shared" ref="C47" si="51">C45+1</f>
        <v>44700</v>
      </c>
      <c r="D47" s="39"/>
      <c r="E47" s="39"/>
      <c r="F47" s="143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1" t="s">
        <v>206</v>
      </c>
      <c r="H47" s="140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3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7"/>
      <c r="K47" s="128"/>
      <c r="L47" s="128"/>
      <c r="M47" s="129"/>
      <c r="N47" s="130"/>
      <c r="O47" s="131"/>
      <c r="P47" s="131"/>
      <c r="Q47" s="131"/>
      <c r="R47" s="131"/>
      <c r="U47" s="115"/>
    </row>
    <row r="48" spans="2:21" s="66" customFormat="1" ht="18" customHeight="1" x14ac:dyDescent="0.3">
      <c r="B48" s="152"/>
      <c r="C48" s="149"/>
      <c r="D48" s="39"/>
      <c r="E48" s="39"/>
      <c r="F48" s="144"/>
      <c r="G48" s="142"/>
      <c r="H48" s="140"/>
      <c r="I48" s="144"/>
      <c r="J48" s="127"/>
      <c r="K48" s="128"/>
      <c r="L48" s="128"/>
      <c r="M48" s="129"/>
      <c r="N48" s="130"/>
      <c r="O48" s="131"/>
      <c r="P48" s="131"/>
      <c r="Q48" s="131"/>
      <c r="R48" s="131"/>
      <c r="U48" s="115"/>
    </row>
    <row r="49" spans="2:21" s="66" customFormat="1" ht="18" customHeight="1" x14ac:dyDescent="0.3">
      <c r="B49" s="151" t="str">
        <f t="shared" si="2"/>
        <v>Friday</v>
      </c>
      <c r="C49" s="149">
        <f t="shared" ref="C49" si="54">C47+1</f>
        <v>44701</v>
      </c>
      <c r="D49" s="39"/>
      <c r="E49" s="39"/>
      <c r="F49" s="143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1" t="s">
        <v>206</v>
      </c>
      <c r="H49" s="140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3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7"/>
      <c r="K49" s="128"/>
      <c r="L49" s="128"/>
      <c r="M49" s="129"/>
      <c r="N49" s="130"/>
      <c r="O49" s="131"/>
      <c r="P49" s="131"/>
      <c r="Q49" s="131"/>
      <c r="R49" s="131"/>
      <c r="U49" s="115"/>
    </row>
    <row r="50" spans="2:21" s="66" customFormat="1" ht="18" customHeight="1" x14ac:dyDescent="0.3">
      <c r="B50" s="152"/>
      <c r="C50" s="149"/>
      <c r="D50" s="39"/>
      <c r="E50" s="39"/>
      <c r="F50" s="144"/>
      <c r="G50" s="142"/>
      <c r="H50" s="140"/>
      <c r="I50" s="144"/>
      <c r="J50" s="127"/>
      <c r="K50" s="128"/>
      <c r="L50" s="128"/>
      <c r="M50" s="129"/>
      <c r="N50" s="131"/>
      <c r="O50" s="131"/>
      <c r="P50" s="131"/>
      <c r="Q50" s="131"/>
      <c r="R50" s="131"/>
      <c r="U50" s="115"/>
    </row>
    <row r="51" spans="2:21" s="66" customFormat="1" ht="18" customHeight="1" x14ac:dyDescent="0.3">
      <c r="B51" s="153" t="str">
        <f t="shared" si="2"/>
        <v>Saturday</v>
      </c>
      <c r="C51" s="150">
        <f t="shared" ref="C51" si="57">C49+1</f>
        <v>44702</v>
      </c>
      <c r="D51" s="117"/>
      <c r="E51" s="117"/>
      <c r="F51" s="145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7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5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32"/>
      <c r="K51" s="133"/>
      <c r="L51" s="133"/>
      <c r="M51" s="134"/>
      <c r="N51" s="135"/>
      <c r="O51" s="135"/>
      <c r="P51" s="135"/>
      <c r="Q51" s="135"/>
      <c r="R51" s="135"/>
      <c r="U51" s="115"/>
    </row>
    <row r="52" spans="2:21" s="66" customFormat="1" ht="18" customHeight="1" x14ac:dyDescent="0.3">
      <c r="B52" s="154"/>
      <c r="C52" s="150"/>
      <c r="D52" s="117"/>
      <c r="E52" s="117"/>
      <c r="F52" s="146"/>
      <c r="G52" s="148"/>
      <c r="H52" s="139"/>
      <c r="I52" s="146"/>
      <c r="J52" s="132"/>
      <c r="K52" s="133"/>
      <c r="L52" s="133"/>
      <c r="M52" s="134"/>
      <c r="N52" s="135"/>
      <c r="O52" s="135"/>
      <c r="P52" s="135"/>
      <c r="Q52" s="135"/>
      <c r="R52" s="135"/>
      <c r="U52" s="115"/>
    </row>
    <row r="53" spans="2:21" s="66" customFormat="1" ht="18" customHeight="1" x14ac:dyDescent="0.3">
      <c r="B53" s="153" t="str">
        <f t="shared" si="2"/>
        <v>Sunday</v>
      </c>
      <c r="C53" s="150">
        <f t="shared" ref="C53" si="58">C51+1</f>
        <v>44703</v>
      </c>
      <c r="D53" s="117"/>
      <c r="E53" s="117"/>
      <c r="F53" s="145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7" t="s">
        <v>206</v>
      </c>
      <c r="H53" s="13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5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32"/>
      <c r="K53" s="133"/>
      <c r="L53" s="133"/>
      <c r="M53" s="134"/>
      <c r="N53" s="135"/>
      <c r="O53" s="135"/>
      <c r="P53" s="135"/>
      <c r="Q53" s="135"/>
      <c r="R53" s="135"/>
      <c r="U53" s="115"/>
    </row>
    <row r="54" spans="2:21" s="66" customFormat="1" ht="18" customHeight="1" x14ac:dyDescent="0.3">
      <c r="B54" s="154"/>
      <c r="C54" s="150"/>
      <c r="D54" s="117"/>
      <c r="E54" s="117"/>
      <c r="F54" s="146"/>
      <c r="G54" s="148"/>
      <c r="H54" s="139"/>
      <c r="I54" s="146"/>
      <c r="J54" s="132"/>
      <c r="K54" s="133"/>
      <c r="L54" s="133"/>
      <c r="M54" s="134"/>
      <c r="N54" s="135"/>
      <c r="O54" s="135"/>
      <c r="P54" s="135"/>
      <c r="Q54" s="135"/>
      <c r="R54" s="135"/>
      <c r="U54" s="115"/>
    </row>
    <row r="55" spans="2:21" s="66" customFormat="1" ht="18" customHeight="1" x14ac:dyDescent="0.3">
      <c r="B55" s="151" t="str">
        <f t="shared" si="2"/>
        <v>Monday</v>
      </c>
      <c r="C55" s="149">
        <f t="shared" ref="C55" si="61">C53+1</f>
        <v>44704</v>
      </c>
      <c r="D55" s="39"/>
      <c r="E55" s="39"/>
      <c r="F55" s="143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1" t="s">
        <v>206</v>
      </c>
      <c r="H55" s="14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3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7"/>
      <c r="K55" s="128"/>
      <c r="L55" s="128"/>
      <c r="M55" s="129"/>
      <c r="N55" s="131"/>
      <c r="O55" s="131"/>
      <c r="P55" s="131"/>
      <c r="Q55" s="131"/>
      <c r="R55" s="131"/>
      <c r="U55" s="115"/>
    </row>
    <row r="56" spans="2:21" s="66" customFormat="1" ht="18" customHeight="1" x14ac:dyDescent="0.3">
      <c r="B56" s="152"/>
      <c r="C56" s="149"/>
      <c r="D56" s="39"/>
      <c r="E56" s="39"/>
      <c r="F56" s="144"/>
      <c r="G56" s="142"/>
      <c r="H56" s="140"/>
      <c r="I56" s="144"/>
      <c r="J56" s="127"/>
      <c r="K56" s="128"/>
      <c r="L56" s="128"/>
      <c r="M56" s="129"/>
      <c r="N56" s="131"/>
      <c r="O56" s="131"/>
      <c r="P56" s="131"/>
      <c r="Q56" s="131"/>
      <c r="R56" s="131"/>
      <c r="U56" s="115"/>
    </row>
    <row r="57" spans="2:21" s="66" customFormat="1" ht="18" customHeight="1" x14ac:dyDescent="0.3">
      <c r="B57" s="151" t="str">
        <f t="shared" si="2"/>
        <v>Tuesday</v>
      </c>
      <c r="C57" s="149">
        <f t="shared" ref="C57" si="64">C55+1</f>
        <v>44705</v>
      </c>
      <c r="D57" s="39"/>
      <c r="E57" s="39"/>
      <c r="F57" s="143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1" t="s">
        <v>206</v>
      </c>
      <c r="H57" s="14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3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7"/>
      <c r="K57" s="128"/>
      <c r="L57" s="128"/>
      <c r="M57" s="129"/>
      <c r="N57" s="130"/>
      <c r="O57" s="131"/>
      <c r="P57" s="131"/>
      <c r="Q57" s="131"/>
      <c r="R57" s="131"/>
      <c r="U57" s="115"/>
    </row>
    <row r="58" spans="2:21" s="66" customFormat="1" ht="18" customHeight="1" x14ac:dyDescent="0.3">
      <c r="B58" s="152"/>
      <c r="C58" s="149"/>
      <c r="D58" s="39"/>
      <c r="E58" s="39"/>
      <c r="F58" s="144"/>
      <c r="G58" s="142"/>
      <c r="H58" s="140"/>
      <c r="I58" s="144"/>
      <c r="J58" s="127"/>
      <c r="K58" s="128"/>
      <c r="L58" s="128"/>
      <c r="M58" s="129"/>
      <c r="N58" s="131"/>
      <c r="O58" s="131"/>
      <c r="P58" s="131"/>
      <c r="Q58" s="131"/>
      <c r="R58" s="131"/>
      <c r="U58" s="115"/>
    </row>
    <row r="59" spans="2:21" s="66" customFormat="1" ht="18" customHeight="1" x14ac:dyDescent="0.3">
      <c r="B59" s="151" t="str">
        <f t="shared" si="2"/>
        <v>Wednesday</v>
      </c>
      <c r="C59" s="149">
        <f t="shared" ref="C59" si="67">C57+1</f>
        <v>44706</v>
      </c>
      <c r="D59" s="39"/>
      <c r="E59" s="39"/>
      <c r="F59" s="143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1" t="s">
        <v>206</v>
      </c>
      <c r="H59" s="140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3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7"/>
      <c r="K59" s="128"/>
      <c r="L59" s="128"/>
      <c r="M59" s="129"/>
      <c r="N59" s="130"/>
      <c r="O59" s="131"/>
      <c r="P59" s="131"/>
      <c r="Q59" s="131"/>
      <c r="R59" s="131"/>
      <c r="U59" s="115"/>
    </row>
    <row r="60" spans="2:21" s="66" customFormat="1" ht="18" customHeight="1" x14ac:dyDescent="0.3">
      <c r="B60" s="152"/>
      <c r="C60" s="149"/>
      <c r="D60" s="39"/>
      <c r="E60" s="39"/>
      <c r="F60" s="144"/>
      <c r="G60" s="142"/>
      <c r="H60" s="140"/>
      <c r="I60" s="144"/>
      <c r="J60" s="127"/>
      <c r="K60" s="128"/>
      <c r="L60" s="128"/>
      <c r="M60" s="129"/>
      <c r="N60" s="130"/>
      <c r="O60" s="131"/>
      <c r="P60" s="131"/>
      <c r="Q60" s="131"/>
      <c r="R60" s="131"/>
      <c r="U60" s="115"/>
    </row>
    <row r="61" spans="2:21" s="66" customFormat="1" ht="18" customHeight="1" x14ac:dyDescent="0.3">
      <c r="B61" s="153" t="str">
        <f t="shared" si="2"/>
        <v>Thursday</v>
      </c>
      <c r="C61" s="150">
        <f t="shared" ref="C61" si="70">C59+1</f>
        <v>44707</v>
      </c>
      <c r="D61" s="117"/>
      <c r="E61" s="117"/>
      <c r="F61" s="145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7" t="s">
        <v>206</v>
      </c>
      <c r="H61" s="13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5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2"/>
      <c r="K61" s="133"/>
      <c r="L61" s="133"/>
      <c r="M61" s="134"/>
      <c r="N61" s="138"/>
      <c r="O61" s="135"/>
      <c r="P61" s="135"/>
      <c r="Q61" s="135"/>
      <c r="R61" s="135"/>
      <c r="U61" s="115"/>
    </row>
    <row r="62" spans="2:21" s="66" customFormat="1" ht="18" customHeight="1" x14ac:dyDescent="0.3">
      <c r="B62" s="154"/>
      <c r="C62" s="150"/>
      <c r="D62" s="117"/>
      <c r="E62" s="117"/>
      <c r="F62" s="146"/>
      <c r="G62" s="148"/>
      <c r="H62" s="139"/>
      <c r="I62" s="146"/>
      <c r="J62" s="132"/>
      <c r="K62" s="133"/>
      <c r="L62" s="133"/>
      <c r="M62" s="134"/>
      <c r="N62" s="138"/>
      <c r="O62" s="135"/>
      <c r="P62" s="135"/>
      <c r="Q62" s="135"/>
      <c r="R62" s="135"/>
      <c r="U62" s="115"/>
    </row>
    <row r="63" spans="2:21" s="66" customFormat="1" ht="18" customHeight="1" x14ac:dyDescent="0.3">
      <c r="B63" s="151" t="str">
        <f t="shared" si="2"/>
        <v>Friday</v>
      </c>
      <c r="C63" s="149">
        <f t="shared" ref="C63" si="73">C61+1</f>
        <v>44708</v>
      </c>
      <c r="D63" s="39"/>
      <c r="E63" s="39"/>
      <c r="F63" s="143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1" t="s">
        <v>206</v>
      </c>
      <c r="H63" s="140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3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7"/>
      <c r="K63" s="128"/>
      <c r="L63" s="128"/>
      <c r="M63" s="129"/>
      <c r="N63" s="130"/>
      <c r="O63" s="131"/>
      <c r="P63" s="131"/>
      <c r="Q63" s="131"/>
      <c r="R63" s="131"/>
      <c r="U63" s="115"/>
    </row>
    <row r="64" spans="2:21" s="66" customFormat="1" ht="18" customHeight="1" x14ac:dyDescent="0.3">
      <c r="B64" s="152"/>
      <c r="C64" s="149"/>
      <c r="D64" s="39"/>
      <c r="E64" s="39"/>
      <c r="F64" s="144"/>
      <c r="G64" s="142"/>
      <c r="H64" s="140"/>
      <c r="I64" s="144"/>
      <c r="J64" s="127"/>
      <c r="K64" s="128"/>
      <c r="L64" s="128"/>
      <c r="M64" s="129"/>
      <c r="N64" s="131"/>
      <c r="O64" s="131"/>
      <c r="P64" s="131"/>
      <c r="Q64" s="131"/>
      <c r="R64" s="131"/>
      <c r="U64" s="115"/>
    </row>
    <row r="65" spans="2:23" s="66" customFormat="1" ht="18" customHeight="1" x14ac:dyDescent="0.3">
      <c r="B65" s="153" t="str">
        <f t="shared" si="2"/>
        <v>Saturday</v>
      </c>
      <c r="C65" s="150">
        <f t="shared" ref="C65" si="76">C63+1</f>
        <v>44709</v>
      </c>
      <c r="D65" s="117"/>
      <c r="E65" s="117"/>
      <c r="F65" s="145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7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5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32"/>
      <c r="K65" s="133"/>
      <c r="L65" s="133"/>
      <c r="M65" s="134"/>
      <c r="N65" s="135"/>
      <c r="O65" s="135"/>
      <c r="P65" s="135"/>
      <c r="Q65" s="135"/>
      <c r="R65" s="135"/>
      <c r="U65" s="115"/>
    </row>
    <row r="66" spans="2:23" s="66" customFormat="1" ht="18" customHeight="1" x14ac:dyDescent="0.3">
      <c r="B66" s="154"/>
      <c r="C66" s="150"/>
      <c r="D66" s="117"/>
      <c r="E66" s="117"/>
      <c r="F66" s="146"/>
      <c r="G66" s="148"/>
      <c r="H66" s="139"/>
      <c r="I66" s="146"/>
      <c r="J66" s="132"/>
      <c r="K66" s="133"/>
      <c r="L66" s="133"/>
      <c r="M66" s="134"/>
      <c r="N66" s="135"/>
      <c r="O66" s="135"/>
      <c r="P66" s="135"/>
      <c r="Q66" s="135"/>
      <c r="R66" s="135"/>
      <c r="U66" s="115"/>
    </row>
    <row r="67" spans="2:23" s="66" customFormat="1" ht="18" customHeight="1" x14ac:dyDescent="0.3">
      <c r="B67" s="153" t="str">
        <f t="shared" si="2"/>
        <v>Sunday</v>
      </c>
      <c r="C67" s="150">
        <f t="shared" ref="C67" si="79">C65+1</f>
        <v>44710</v>
      </c>
      <c r="D67" s="117"/>
      <c r="E67" s="117"/>
      <c r="F67" s="145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7" t="s">
        <v>206</v>
      </c>
      <c r="H67" s="13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5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32"/>
      <c r="K67" s="133"/>
      <c r="L67" s="133"/>
      <c r="M67" s="134"/>
      <c r="N67" s="135"/>
      <c r="O67" s="135"/>
      <c r="P67" s="135"/>
      <c r="Q67" s="135"/>
      <c r="R67" s="135"/>
      <c r="U67" s="115"/>
    </row>
    <row r="68" spans="2:23" s="66" customFormat="1" ht="18" customHeight="1" x14ac:dyDescent="0.3">
      <c r="B68" s="154"/>
      <c r="C68" s="150"/>
      <c r="D68" s="117"/>
      <c r="E68" s="117"/>
      <c r="F68" s="146"/>
      <c r="G68" s="148"/>
      <c r="H68" s="139"/>
      <c r="I68" s="146"/>
      <c r="J68" s="132"/>
      <c r="K68" s="133"/>
      <c r="L68" s="133"/>
      <c r="M68" s="134"/>
      <c r="N68" s="135"/>
      <c r="O68" s="135"/>
      <c r="P68" s="135"/>
      <c r="Q68" s="135"/>
      <c r="R68" s="135"/>
      <c r="U68" s="115"/>
    </row>
    <row r="69" spans="2:23" s="66" customFormat="1" ht="18" customHeight="1" x14ac:dyDescent="0.3">
      <c r="B69" s="151" t="str">
        <f t="shared" si="2"/>
        <v>Monday</v>
      </c>
      <c r="C69" s="149">
        <f t="shared" ref="C69" si="82">C67+1</f>
        <v>44711</v>
      </c>
      <c r="D69" s="39"/>
      <c r="E69" s="39"/>
      <c r="F69" s="143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1" t="s">
        <v>206</v>
      </c>
      <c r="H69" s="14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3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7"/>
      <c r="K69" s="128"/>
      <c r="L69" s="128"/>
      <c r="M69" s="129"/>
      <c r="N69" s="131"/>
      <c r="O69" s="131"/>
      <c r="P69" s="131"/>
      <c r="Q69" s="131"/>
      <c r="R69" s="131"/>
      <c r="U69" s="115"/>
    </row>
    <row r="70" spans="2:23" s="66" customFormat="1" ht="18" customHeight="1" x14ac:dyDescent="0.3">
      <c r="B70" s="152"/>
      <c r="C70" s="149"/>
      <c r="D70" s="39"/>
      <c r="E70" s="39"/>
      <c r="F70" s="144"/>
      <c r="G70" s="142"/>
      <c r="H70" s="140"/>
      <c r="I70" s="144"/>
      <c r="J70" s="127"/>
      <c r="K70" s="128"/>
      <c r="L70" s="128"/>
      <c r="M70" s="129"/>
      <c r="N70" s="131"/>
      <c r="O70" s="131"/>
      <c r="P70" s="131"/>
      <c r="Q70" s="131"/>
      <c r="R70" s="131"/>
      <c r="U70" s="115"/>
    </row>
    <row r="71" spans="2:23" s="21" customFormat="1" ht="15" customHeight="1" x14ac:dyDescent="0.25">
      <c r="B71" s="151" t="str">
        <f>CHOOSE(WEEKDAY(C71),"Sunday","Monday","Tuesday","Wednesday","Thursday","Friday","Saturday")</f>
        <v>Tuesday</v>
      </c>
      <c r="C71" s="149">
        <f t="shared" ref="C71" si="85">C69+1</f>
        <v>44712</v>
      </c>
      <c r="D71" s="39"/>
      <c r="E71" s="39"/>
      <c r="F71" s="143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1" t="s">
        <v>206</v>
      </c>
      <c r="H71" s="14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3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7"/>
      <c r="K71" s="128"/>
      <c r="L71" s="128"/>
      <c r="M71" s="129"/>
      <c r="N71" s="130"/>
      <c r="O71" s="131"/>
      <c r="P71" s="131"/>
      <c r="Q71" s="131"/>
      <c r="R71" s="131"/>
      <c r="U71" s="70"/>
    </row>
    <row r="72" spans="2:23" s="21" customFormat="1" ht="15.75" customHeight="1" x14ac:dyDescent="0.25">
      <c r="B72" s="152"/>
      <c r="C72" s="149"/>
      <c r="D72" s="39"/>
      <c r="E72" s="39"/>
      <c r="F72" s="144"/>
      <c r="G72" s="142"/>
      <c r="H72" s="140"/>
      <c r="I72" s="144"/>
      <c r="J72" s="127"/>
      <c r="K72" s="128"/>
      <c r="L72" s="128"/>
      <c r="M72" s="129"/>
      <c r="N72" s="131"/>
      <c r="O72" s="131"/>
      <c r="P72" s="131"/>
      <c r="Q72" s="131"/>
      <c r="R72" s="131"/>
      <c r="U72" s="113">
        <f>List!F19</f>
        <v>18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2">
        <f>F77*8</f>
        <v>0</v>
      </c>
      <c r="F77" s="192">
        <f>COUNTIF(List!$K$3:$K$70,"&gt;0")</f>
        <v>0</v>
      </c>
      <c r="G77" s="176">
        <f>SUM('Timesheet-Regular'!$F$11:$F$72)</f>
        <v>0</v>
      </c>
      <c r="H77" s="176">
        <f>G77/8</f>
        <v>0</v>
      </c>
      <c r="I77" s="176" t="str">
        <f>IF($D$6="Yes",COUNTIF(List!L3:L70,"morning"),"")</f>
        <v/>
      </c>
      <c r="J77" s="176" t="str">
        <f>IF($D$6="Yes",COUNTIF(List!L3:L70,"afternoon"),"")</f>
        <v/>
      </c>
      <c r="K77" s="176" t="str">
        <f>IF($D$6="Yes",COUNTIF(List!L3:L70,"night"),"")</f>
        <v/>
      </c>
      <c r="L77" s="176">
        <f>SUM('Timesheet-Regular'!$H$11:$H$72)</f>
        <v>0</v>
      </c>
      <c r="M77" s="176">
        <f>L77/8</f>
        <v>0</v>
      </c>
      <c r="N77" s="176">
        <f>SUM('Timesheet-Regular'!$I$11:$I$72)</f>
        <v>0</v>
      </c>
      <c r="O77" s="176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2"/>
      <c r="F78" s="192"/>
      <c r="G78" s="177"/>
      <c r="H78" s="177"/>
      <c r="I78" s="177"/>
      <c r="J78" s="177"/>
      <c r="K78" s="177"/>
      <c r="L78" s="177"/>
      <c r="M78" s="177"/>
      <c r="N78" s="177"/>
      <c r="O78" s="177"/>
      <c r="R78" s="10"/>
      <c r="S78" s="10"/>
      <c r="U78" s="70"/>
    </row>
    <row r="79" spans="2:23" s="21" customFormat="1" ht="15" customHeight="1" x14ac:dyDescent="0.25">
      <c r="B79" s="18"/>
      <c r="E79" s="192"/>
      <c r="F79" s="192"/>
      <c r="G79" s="178"/>
      <c r="H79" s="178"/>
      <c r="I79" s="178"/>
      <c r="J79" s="178"/>
      <c r="K79" s="178"/>
      <c r="L79" s="178"/>
      <c r="M79" s="178"/>
      <c r="N79" s="178"/>
      <c r="O79" s="178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2" t="s">
        <v>1</v>
      </c>
      <c r="C83" s="182"/>
      <c r="D83" s="182"/>
      <c r="E83" s="182" t="s">
        <v>11</v>
      </c>
      <c r="F83" s="182"/>
      <c r="G83" s="182"/>
      <c r="H83" s="179" t="s">
        <v>138</v>
      </c>
      <c r="I83" s="180"/>
      <c r="J83" s="181"/>
      <c r="K83" s="179" t="s">
        <v>11</v>
      </c>
      <c r="L83" s="180"/>
      <c r="M83" s="181"/>
      <c r="N83" s="179" t="s">
        <v>139</v>
      </c>
      <c r="O83" s="180"/>
      <c r="P83" s="181"/>
      <c r="Q83" s="182" t="s">
        <v>11</v>
      </c>
      <c r="R83" s="182"/>
    </row>
    <row r="84" spans="2:21" ht="15" customHeight="1" x14ac:dyDescent="0.25">
      <c r="B84" s="158">
        <f>D3</f>
        <v>0</v>
      </c>
      <c r="C84" s="159"/>
      <c r="D84" s="160"/>
      <c r="E84" s="167"/>
      <c r="F84" s="168"/>
      <c r="G84" s="169"/>
      <c r="H84" s="183"/>
      <c r="I84" s="184"/>
      <c r="J84" s="185"/>
      <c r="K84" s="167"/>
      <c r="L84" s="168"/>
      <c r="M84" s="169"/>
      <c r="N84" s="183"/>
      <c r="O84" s="184"/>
      <c r="P84" s="185"/>
      <c r="Q84" s="167"/>
      <c r="R84" s="169"/>
    </row>
    <row r="85" spans="2:21" ht="15" customHeight="1" x14ac:dyDescent="0.25">
      <c r="B85" s="161"/>
      <c r="C85" s="162"/>
      <c r="D85" s="163"/>
      <c r="E85" s="170"/>
      <c r="F85" s="171"/>
      <c r="G85" s="172"/>
      <c r="H85" s="186"/>
      <c r="I85" s="187"/>
      <c r="J85" s="188"/>
      <c r="K85" s="170"/>
      <c r="L85" s="171"/>
      <c r="M85" s="172"/>
      <c r="N85" s="186"/>
      <c r="O85" s="187"/>
      <c r="P85" s="188"/>
      <c r="Q85" s="170"/>
      <c r="R85" s="172"/>
    </row>
    <row r="86" spans="2:21" ht="15" customHeight="1" x14ac:dyDescent="0.25">
      <c r="B86" s="161"/>
      <c r="C86" s="162"/>
      <c r="D86" s="163"/>
      <c r="E86" s="170"/>
      <c r="F86" s="171"/>
      <c r="G86" s="172"/>
      <c r="H86" s="186"/>
      <c r="I86" s="187"/>
      <c r="J86" s="188"/>
      <c r="K86" s="170"/>
      <c r="L86" s="171"/>
      <c r="M86" s="172"/>
      <c r="N86" s="186"/>
      <c r="O86" s="187"/>
      <c r="P86" s="188"/>
      <c r="Q86" s="170"/>
      <c r="R86" s="172"/>
    </row>
    <row r="87" spans="2:21" ht="15" customHeight="1" x14ac:dyDescent="0.25">
      <c r="B87" s="164"/>
      <c r="C87" s="165"/>
      <c r="D87" s="166"/>
      <c r="E87" s="173"/>
      <c r="F87" s="174"/>
      <c r="G87" s="175"/>
      <c r="H87" s="189"/>
      <c r="I87" s="190"/>
      <c r="J87" s="191"/>
      <c r="K87" s="173"/>
      <c r="L87" s="174"/>
      <c r="M87" s="175"/>
      <c r="N87" s="189"/>
      <c r="O87" s="190"/>
      <c r="P87" s="191"/>
      <c r="Q87" s="173"/>
      <c r="R87" s="175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hdG5Khb6lKJmhfaE65rVgie/sZ8wy99rbLE6MmCJKd09MybJCkHO6M53ebLXAvQ1KEsoVcJ1H5LXtAtJCJyw9g==" saltValue="clARO9KemSmhAdeDTFAFXg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J23:M26 J11:M16 J51:M54 J37:M42 J65:M68 J61:M62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J17:M22 J27:M36 J69:M72 J43:M50 J55:M60 J63:M64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J11:J16 J23:J26 J51:J54 J37:J42 J65:J68 J61:J62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J17:J22 J27:J36 J69:J72 J43:J50 J55:J60 J63:J64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List!B$3:B$79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J69" sqref="J69:Q69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55" t="s">
        <v>0</v>
      </c>
      <c r="E2" s="155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55" t="s">
        <v>1</v>
      </c>
      <c r="E3" s="155"/>
      <c r="F3" s="215">
        <f>'Timesheet-Regular'!D3</f>
        <v>0</v>
      </c>
      <c r="G3" s="216"/>
      <c r="H3" s="216"/>
      <c r="I3" s="216"/>
      <c r="J3" s="216"/>
      <c r="K3" s="216"/>
      <c r="L3" s="216"/>
      <c r="M3" s="217"/>
      <c r="S3" s="12"/>
      <c r="T3" s="12"/>
    </row>
    <row r="4" spans="2:21" ht="15" customHeight="1" x14ac:dyDescent="0.25">
      <c r="D4" s="155" t="s">
        <v>2</v>
      </c>
      <c r="E4" s="155"/>
      <c r="F4" s="215">
        <f>'Timesheet-Regular'!D4</f>
        <v>0</v>
      </c>
      <c r="G4" s="216"/>
      <c r="H4" s="216"/>
      <c r="I4" s="216"/>
      <c r="J4" s="216"/>
      <c r="K4" s="216"/>
      <c r="L4" s="216"/>
      <c r="M4" s="217"/>
      <c r="N4" s="14"/>
      <c r="S4" s="12"/>
      <c r="T4" s="12"/>
    </row>
    <row r="5" spans="2:21" ht="15" customHeight="1" x14ac:dyDescent="0.25">
      <c r="B5" s="11"/>
      <c r="D5" s="155" t="s">
        <v>3</v>
      </c>
      <c r="E5" s="155"/>
      <c r="F5" s="218">
        <f>'Timesheet-Regular'!D7</f>
        <v>44682</v>
      </c>
      <c r="G5" s="219"/>
      <c r="H5" s="219"/>
      <c r="I5" s="219"/>
      <c r="J5" s="219"/>
      <c r="K5" s="219"/>
      <c r="L5" s="219"/>
      <c r="M5" s="220"/>
      <c r="S5" s="12"/>
      <c r="T5" s="12"/>
    </row>
    <row r="6" spans="2:21" ht="15" customHeight="1" x14ac:dyDescent="0.25">
      <c r="B6" s="57"/>
      <c r="C6" s="15"/>
      <c r="D6" s="155" t="s">
        <v>220</v>
      </c>
      <c r="E6" s="155"/>
      <c r="F6" s="231">
        <f>'Timesheet-Regular'!D8</f>
        <v>0</v>
      </c>
      <c r="G6" s="232"/>
      <c r="H6" s="232"/>
      <c r="I6" s="232"/>
      <c r="J6" s="232"/>
      <c r="K6" s="232"/>
      <c r="L6" s="232"/>
      <c r="M6" s="233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21" t="s">
        <v>15</v>
      </c>
      <c r="K8" s="221"/>
      <c r="L8" s="221"/>
      <c r="M8" s="221"/>
      <c r="N8" s="221"/>
      <c r="O8" s="221"/>
      <c r="P8" s="221"/>
      <c r="Q8" s="221"/>
      <c r="S8" s="76"/>
    </row>
    <row r="9" spans="2:21" ht="15" customHeight="1" x14ac:dyDescent="0.25">
      <c r="C9" s="153" t="str">
        <f>CHOOSE(WEEKDAY(D9),"Sunday","Monday","Tuesday","Wednesday","Thursday","Friday","Saturday")</f>
        <v>Sunday</v>
      </c>
      <c r="D9" s="201">
        <f>F5</f>
        <v>44682</v>
      </c>
      <c r="E9" s="118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8">
        <f>IFERROR(IF(E9=0,0,IF('OT Form'!G9="Yes",Sheet2!C4,0)),"")</f>
        <v>0</v>
      </c>
      <c r="G9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45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0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2"/>
      <c r="K9" s="213"/>
      <c r="L9" s="213"/>
      <c r="M9" s="213"/>
      <c r="N9" s="213"/>
      <c r="O9" s="213"/>
      <c r="P9" s="213"/>
      <c r="Q9" s="214"/>
      <c r="R9" s="11"/>
      <c r="S9" s="76"/>
      <c r="U9" s="69"/>
    </row>
    <row r="10" spans="2:21" ht="15" customHeight="1" x14ac:dyDescent="0.25">
      <c r="C10" s="154"/>
      <c r="D10" s="202"/>
      <c r="E10" s="118">
        <f>IFERROR(IF(G10="Yes",Sheet2!B5,0),"")</f>
        <v>0</v>
      </c>
      <c r="F10" s="118">
        <f>IFERROR(IF('OT Form'!G10="Yes",Sheet2!C5,0),"")</f>
        <v>0</v>
      </c>
      <c r="G10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46"/>
      <c r="I10" s="211"/>
      <c r="J10" s="212"/>
      <c r="K10" s="213"/>
      <c r="L10" s="213"/>
      <c r="M10" s="213"/>
      <c r="N10" s="213"/>
      <c r="O10" s="213"/>
      <c r="P10" s="213"/>
      <c r="Q10" s="214"/>
      <c r="R10" s="11"/>
      <c r="S10" s="76"/>
      <c r="U10" s="72"/>
    </row>
    <row r="11" spans="2:21" ht="15" customHeight="1" x14ac:dyDescent="0.25">
      <c r="C11" s="153" t="str">
        <f t="shared" ref="C11" si="0">CHOOSE(WEEKDAY(D11),"Sunday","Monday","Tuesday","Wednesday","Thursday","Friday","Saturday")</f>
        <v>Monday</v>
      </c>
      <c r="D11" s="201">
        <f>D9+1</f>
        <v>44683</v>
      </c>
      <c r="E11" s="118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8">
        <f>IFERROR(IF(E11=0,0,IF('OT Form'!G11="Yes",Sheet2!C6,0)),"")</f>
        <v>0</v>
      </c>
      <c r="G11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45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0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2"/>
      <c r="K11" s="213"/>
      <c r="L11" s="213"/>
      <c r="M11" s="213"/>
      <c r="N11" s="213"/>
      <c r="O11" s="213"/>
      <c r="P11" s="213"/>
      <c r="Q11" s="214"/>
      <c r="R11" s="11"/>
      <c r="S11" s="11"/>
      <c r="U11" s="69" t="s">
        <v>68</v>
      </c>
    </row>
    <row r="12" spans="2:21" ht="15" customHeight="1" x14ac:dyDescent="0.25">
      <c r="C12" s="154"/>
      <c r="D12" s="202"/>
      <c r="E12" s="118">
        <f>IFERROR(IF(G12="Yes",Sheet2!B7,0),"")</f>
        <v>0</v>
      </c>
      <c r="F12" s="118">
        <f>IFERROR(IF('OT Form'!G12="Yes",Sheet2!C7,0),"")</f>
        <v>0</v>
      </c>
      <c r="G12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46"/>
      <c r="I12" s="211"/>
      <c r="J12" s="212"/>
      <c r="K12" s="213"/>
      <c r="L12" s="213"/>
      <c r="M12" s="213"/>
      <c r="N12" s="213"/>
      <c r="O12" s="213"/>
      <c r="P12" s="213"/>
      <c r="Q12" s="214"/>
      <c r="R12" s="11"/>
      <c r="S12" s="11"/>
      <c r="U12" s="69" t="s">
        <v>69</v>
      </c>
    </row>
    <row r="13" spans="2:21" s="21" customFormat="1" ht="15" customHeight="1" x14ac:dyDescent="0.25">
      <c r="C13" s="153" t="str">
        <f t="shared" ref="C13" si="1">CHOOSE(WEEKDAY(D13),"Sunday","Monday","Tuesday","Wednesday","Thursday","Friday","Saturday")</f>
        <v>Tuesday</v>
      </c>
      <c r="D13" s="201">
        <f t="shared" ref="D13" si="2">D11+1</f>
        <v>44684</v>
      </c>
      <c r="E13" s="118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8">
        <f>IFERROR(IF(E13=0,0,IF('OT Form'!G13="Yes",Sheet2!C8,0)),"")</f>
        <v>0</v>
      </c>
      <c r="G13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45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0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2"/>
      <c r="K13" s="213"/>
      <c r="L13" s="213"/>
      <c r="M13" s="213"/>
      <c r="N13" s="213"/>
      <c r="O13" s="213"/>
      <c r="P13" s="213"/>
      <c r="Q13" s="214"/>
      <c r="R13" s="64"/>
      <c r="S13" s="64"/>
      <c r="U13" s="70"/>
    </row>
    <row r="14" spans="2:21" s="21" customFormat="1" ht="15" customHeight="1" x14ac:dyDescent="0.25">
      <c r="C14" s="154"/>
      <c r="D14" s="202"/>
      <c r="E14" s="118">
        <f>IFERROR(IF(G14="Yes",Sheet2!B9,0),"")</f>
        <v>0</v>
      </c>
      <c r="F14" s="118">
        <f>IFERROR(IF('OT Form'!G14="Yes",Sheet2!C9,0),"")</f>
        <v>0</v>
      </c>
      <c r="G14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46"/>
      <c r="I14" s="211"/>
      <c r="J14" s="212"/>
      <c r="K14" s="213"/>
      <c r="L14" s="213"/>
      <c r="M14" s="213"/>
      <c r="N14" s="213"/>
      <c r="O14" s="213"/>
      <c r="P14" s="213"/>
      <c r="Q14" s="214"/>
      <c r="R14" s="64"/>
      <c r="S14" s="64"/>
      <c r="T14" s="77"/>
    </row>
    <row r="15" spans="2:21" s="21" customFormat="1" ht="15" customHeight="1" x14ac:dyDescent="0.25">
      <c r="C15" s="151" t="str">
        <f t="shared" ref="C15" si="3">CHOOSE(WEEKDAY(D15),"Sunday","Monday","Tuesday","Wednesday","Thursday","Friday","Saturday")</f>
        <v>Wednesday</v>
      </c>
      <c r="D15" s="203">
        <f t="shared" ref="D15" si="4">D13+1</f>
        <v>44685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43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5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7"/>
      <c r="K15" s="208"/>
      <c r="L15" s="208"/>
      <c r="M15" s="208"/>
      <c r="N15" s="208"/>
      <c r="O15" s="208"/>
      <c r="P15" s="208"/>
      <c r="Q15" s="209"/>
      <c r="R15" s="64"/>
      <c r="S15" s="64"/>
    </row>
    <row r="16" spans="2:21" s="21" customFormat="1" ht="15" customHeight="1" x14ac:dyDescent="0.25">
      <c r="C16" s="152"/>
      <c r="D16" s="204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44"/>
      <c r="I16" s="206"/>
      <c r="J16" s="207"/>
      <c r="K16" s="208"/>
      <c r="L16" s="208"/>
      <c r="M16" s="208"/>
      <c r="N16" s="208"/>
      <c r="O16" s="208"/>
      <c r="P16" s="208"/>
      <c r="Q16" s="209"/>
      <c r="S16" s="64"/>
    </row>
    <row r="17" spans="3:19" s="21" customFormat="1" ht="15" customHeight="1" x14ac:dyDescent="0.25">
      <c r="C17" s="151" t="str">
        <f t="shared" ref="C17" si="5">CHOOSE(WEEKDAY(D17),"Sunday","Monday","Tuesday","Wednesday","Thursday","Friday","Saturday")</f>
        <v>Thursday</v>
      </c>
      <c r="D17" s="203">
        <f t="shared" ref="D17" si="6">D15+1</f>
        <v>44686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43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5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7"/>
      <c r="K17" s="208"/>
      <c r="L17" s="208"/>
      <c r="M17" s="208"/>
      <c r="N17" s="208"/>
      <c r="O17" s="208"/>
      <c r="P17" s="208"/>
      <c r="Q17" s="209"/>
      <c r="S17" s="11"/>
    </row>
    <row r="18" spans="3:19" s="21" customFormat="1" ht="15" customHeight="1" x14ac:dyDescent="0.25">
      <c r="C18" s="152"/>
      <c r="D18" s="204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44"/>
      <c r="I18" s="206"/>
      <c r="J18" s="207"/>
      <c r="K18" s="208"/>
      <c r="L18" s="208"/>
      <c r="M18" s="208"/>
      <c r="N18" s="208"/>
      <c r="O18" s="208"/>
      <c r="P18" s="208"/>
      <c r="Q18" s="209"/>
      <c r="S18" s="11"/>
    </row>
    <row r="19" spans="3:19" s="21" customFormat="1" ht="15" customHeight="1" x14ac:dyDescent="0.25">
      <c r="C19" s="151" t="str">
        <f t="shared" ref="C19" si="7">CHOOSE(WEEKDAY(D19),"Sunday","Monday","Tuesday","Wednesday","Thursday","Friday","Saturday")</f>
        <v>Friday</v>
      </c>
      <c r="D19" s="203">
        <f t="shared" ref="D19" si="8">D17+1</f>
        <v>44687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43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5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7"/>
      <c r="K19" s="208"/>
      <c r="L19" s="208"/>
      <c r="M19" s="208"/>
      <c r="N19" s="208"/>
      <c r="O19" s="208"/>
      <c r="P19" s="208"/>
      <c r="Q19" s="209"/>
      <c r="S19" s="11"/>
    </row>
    <row r="20" spans="3:19" s="21" customFormat="1" ht="15" customHeight="1" x14ac:dyDescent="0.25">
      <c r="C20" s="152"/>
      <c r="D20" s="204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44"/>
      <c r="I20" s="206"/>
      <c r="J20" s="207"/>
      <c r="K20" s="208"/>
      <c r="L20" s="208"/>
      <c r="M20" s="208"/>
      <c r="N20" s="208"/>
      <c r="O20" s="208"/>
      <c r="P20" s="208"/>
      <c r="Q20" s="209"/>
      <c r="S20" s="11"/>
    </row>
    <row r="21" spans="3:19" s="21" customFormat="1" ht="15" customHeight="1" x14ac:dyDescent="0.25">
      <c r="C21" s="153" t="str">
        <f>CHOOSE(WEEKDAY(D21),"Sunday","Monday","Tuesday","Wednesday","Thursday","Friday","Saturday")</f>
        <v>Saturday</v>
      </c>
      <c r="D21" s="201">
        <f t="shared" ref="D21" si="9">D19+1</f>
        <v>44688</v>
      </c>
      <c r="E21" s="118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118">
        <f>IFERROR(IF(E21=0,0,IF('OT Form'!G21="Yes",Sheet2!C16,0)),"")</f>
        <v>0</v>
      </c>
      <c r="G21" s="117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45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0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2"/>
      <c r="K21" s="213"/>
      <c r="L21" s="213"/>
      <c r="M21" s="213"/>
      <c r="N21" s="213"/>
      <c r="O21" s="213"/>
      <c r="P21" s="213"/>
      <c r="Q21" s="214"/>
      <c r="S21" s="11"/>
    </row>
    <row r="22" spans="3:19" s="21" customFormat="1" ht="15" customHeight="1" x14ac:dyDescent="0.25">
      <c r="C22" s="154"/>
      <c r="D22" s="202"/>
      <c r="E22" s="118">
        <f>IFERROR(IF(G22="Yes",Sheet2!B17,0),"")</f>
        <v>0</v>
      </c>
      <c r="F22" s="118">
        <f>IFERROR(IF('OT Form'!G22="Yes",Sheet2!C17,0),"")</f>
        <v>0</v>
      </c>
      <c r="G22" s="117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46"/>
      <c r="I22" s="211"/>
      <c r="J22" s="212"/>
      <c r="K22" s="213"/>
      <c r="L22" s="213"/>
      <c r="M22" s="213"/>
      <c r="N22" s="213"/>
      <c r="O22" s="213"/>
      <c r="P22" s="213"/>
      <c r="Q22" s="214"/>
      <c r="S22" s="11"/>
    </row>
    <row r="23" spans="3:19" s="21" customFormat="1" ht="15" customHeight="1" x14ac:dyDescent="0.25">
      <c r="C23" s="153" t="str">
        <f t="shared" ref="C23" si="10">CHOOSE(WEEKDAY(D23),"Sunday","Monday","Tuesday","Wednesday","Thursday","Friday","Saturday")</f>
        <v>Sunday</v>
      </c>
      <c r="D23" s="201">
        <f t="shared" ref="D23" si="11">D21+1</f>
        <v>44689</v>
      </c>
      <c r="E23" s="118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118">
        <f>IFERROR(IF(E23=0,0,IF('OT Form'!G23="Yes",Sheet2!C18,0)),"")</f>
        <v>0</v>
      </c>
      <c r="G23" s="117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45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0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2"/>
      <c r="K23" s="213"/>
      <c r="L23" s="213"/>
      <c r="M23" s="213"/>
      <c r="N23" s="213"/>
      <c r="O23" s="213"/>
      <c r="P23" s="213"/>
      <c r="Q23" s="214"/>
      <c r="S23" s="11"/>
    </row>
    <row r="24" spans="3:19" s="21" customFormat="1" ht="15" customHeight="1" x14ac:dyDescent="0.25">
      <c r="C24" s="154"/>
      <c r="D24" s="202"/>
      <c r="E24" s="118">
        <f>IFERROR(IF(G24="Yes",Sheet2!B19,0),"")</f>
        <v>0</v>
      </c>
      <c r="F24" s="118">
        <f>IFERROR(IF('OT Form'!G24="Yes",Sheet2!C19,0),"")</f>
        <v>0</v>
      </c>
      <c r="G24" s="117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46"/>
      <c r="I24" s="211"/>
      <c r="J24" s="212"/>
      <c r="K24" s="213"/>
      <c r="L24" s="213"/>
      <c r="M24" s="213"/>
      <c r="N24" s="213"/>
      <c r="O24" s="213"/>
      <c r="P24" s="213"/>
      <c r="Q24" s="214"/>
      <c r="S24" s="11"/>
    </row>
    <row r="25" spans="3:19" s="21" customFormat="1" ht="15" customHeight="1" x14ac:dyDescent="0.25">
      <c r="C25" s="151" t="str">
        <f t="shared" ref="C25" si="12">CHOOSE(WEEKDAY(D25),"Sunday","Monday","Tuesday","Wednesday","Thursday","Friday","Saturday")</f>
        <v>Monday</v>
      </c>
      <c r="D25" s="203">
        <f t="shared" ref="D25" si="13">D23+1</f>
        <v>44690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43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5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7"/>
      <c r="K25" s="208"/>
      <c r="L25" s="208"/>
      <c r="M25" s="208"/>
      <c r="N25" s="208"/>
      <c r="O25" s="208"/>
      <c r="P25" s="208"/>
      <c r="Q25" s="209"/>
      <c r="S25" s="11"/>
    </row>
    <row r="26" spans="3:19" s="21" customFormat="1" ht="15" customHeight="1" x14ac:dyDescent="0.25">
      <c r="C26" s="152"/>
      <c r="D26" s="204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44"/>
      <c r="I26" s="206"/>
      <c r="J26" s="207"/>
      <c r="K26" s="208"/>
      <c r="L26" s="208"/>
      <c r="M26" s="208"/>
      <c r="N26" s="208"/>
      <c r="O26" s="208"/>
      <c r="P26" s="208"/>
      <c r="Q26" s="209"/>
      <c r="S26" s="11"/>
    </row>
    <row r="27" spans="3:19" s="21" customFormat="1" ht="15" customHeight="1" x14ac:dyDescent="0.25">
      <c r="C27" s="151" t="str">
        <f t="shared" ref="C27" si="14">CHOOSE(WEEKDAY(D27),"Sunday","Monday","Tuesday","Wednesday","Thursday","Friday","Saturday")</f>
        <v>Tuesday</v>
      </c>
      <c r="D27" s="203">
        <f t="shared" ref="D27" si="15">D25+1</f>
        <v>44691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43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5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7"/>
      <c r="K27" s="208"/>
      <c r="L27" s="208"/>
      <c r="M27" s="208"/>
      <c r="N27" s="208"/>
      <c r="O27" s="208"/>
      <c r="P27" s="208"/>
      <c r="Q27" s="209"/>
      <c r="S27" s="11"/>
    </row>
    <row r="28" spans="3:19" s="21" customFormat="1" ht="15" customHeight="1" x14ac:dyDescent="0.25">
      <c r="C28" s="152"/>
      <c r="D28" s="204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44"/>
      <c r="I28" s="206"/>
      <c r="J28" s="207"/>
      <c r="K28" s="208"/>
      <c r="L28" s="208"/>
      <c r="M28" s="208"/>
      <c r="N28" s="208"/>
      <c r="O28" s="208"/>
      <c r="P28" s="208"/>
      <c r="Q28" s="209"/>
      <c r="S28" s="11"/>
    </row>
    <row r="29" spans="3:19" s="21" customFormat="1" ht="15" customHeight="1" x14ac:dyDescent="0.25">
      <c r="C29" s="151" t="str">
        <f t="shared" ref="C29" si="16">CHOOSE(WEEKDAY(D29),"Sunday","Monday","Tuesday","Wednesday","Thursday","Friday","Saturday")</f>
        <v>Wednesday</v>
      </c>
      <c r="D29" s="203">
        <f t="shared" ref="D29" si="17">D27+1</f>
        <v>44692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43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5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7"/>
      <c r="K29" s="208"/>
      <c r="L29" s="208"/>
      <c r="M29" s="208"/>
      <c r="N29" s="208"/>
      <c r="O29" s="208"/>
      <c r="P29" s="208"/>
      <c r="Q29" s="209"/>
      <c r="S29" s="11"/>
    </row>
    <row r="30" spans="3:19" s="21" customFormat="1" ht="15" customHeight="1" x14ac:dyDescent="0.25">
      <c r="C30" s="152"/>
      <c r="D30" s="204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44"/>
      <c r="I30" s="206"/>
      <c r="J30" s="207"/>
      <c r="K30" s="208"/>
      <c r="L30" s="208"/>
      <c r="M30" s="208"/>
      <c r="N30" s="208"/>
      <c r="O30" s="208"/>
      <c r="P30" s="208"/>
      <c r="Q30" s="209"/>
      <c r="S30" s="11"/>
    </row>
    <row r="31" spans="3:19" s="21" customFormat="1" ht="15" customHeight="1" x14ac:dyDescent="0.25">
      <c r="C31" s="151" t="str">
        <f t="shared" ref="C31" si="18">CHOOSE(WEEKDAY(D31),"Sunday","Monday","Tuesday","Wednesday","Thursday","Friday","Saturday")</f>
        <v>Thursday</v>
      </c>
      <c r="D31" s="203">
        <f t="shared" ref="D31" si="19">D29+1</f>
        <v>44693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43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5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7"/>
      <c r="K31" s="208"/>
      <c r="L31" s="208"/>
      <c r="M31" s="208"/>
      <c r="N31" s="208"/>
      <c r="O31" s="208"/>
      <c r="P31" s="208"/>
      <c r="Q31" s="209"/>
      <c r="S31" s="11"/>
    </row>
    <row r="32" spans="3:19" s="21" customFormat="1" ht="15" customHeight="1" x14ac:dyDescent="0.25">
      <c r="C32" s="152"/>
      <c r="D32" s="204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44"/>
      <c r="I32" s="206"/>
      <c r="J32" s="207"/>
      <c r="K32" s="208"/>
      <c r="L32" s="208"/>
      <c r="M32" s="208"/>
      <c r="N32" s="208"/>
      <c r="O32" s="208"/>
      <c r="P32" s="208"/>
      <c r="Q32" s="209"/>
      <c r="S32" s="11"/>
    </row>
    <row r="33" spans="3:19" s="21" customFormat="1" ht="15" customHeight="1" x14ac:dyDescent="0.25">
      <c r="C33" s="151" t="str">
        <f t="shared" ref="C33" si="20">CHOOSE(WEEKDAY(D33),"Sunday","Monday","Tuesday","Wednesday","Thursday","Friday","Saturday")</f>
        <v>Friday</v>
      </c>
      <c r="D33" s="203">
        <f t="shared" ref="D33" si="21">D31+1</f>
        <v>44694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43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05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7"/>
      <c r="K33" s="208"/>
      <c r="L33" s="208"/>
      <c r="M33" s="208"/>
      <c r="N33" s="208"/>
      <c r="O33" s="208"/>
      <c r="P33" s="208"/>
      <c r="Q33" s="209"/>
      <c r="S33" s="11"/>
    </row>
    <row r="34" spans="3:19" s="21" customFormat="1" ht="15" customHeight="1" x14ac:dyDescent="0.25">
      <c r="C34" s="152"/>
      <c r="D34" s="204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44"/>
      <c r="I34" s="206"/>
      <c r="J34" s="207"/>
      <c r="K34" s="208"/>
      <c r="L34" s="208"/>
      <c r="M34" s="208"/>
      <c r="N34" s="208"/>
      <c r="O34" s="208"/>
      <c r="P34" s="208"/>
      <c r="Q34" s="209"/>
      <c r="S34" s="11"/>
    </row>
    <row r="35" spans="3:19" s="21" customFormat="1" ht="15" customHeight="1" x14ac:dyDescent="0.25">
      <c r="C35" s="153" t="str">
        <f t="shared" ref="C35" si="22">CHOOSE(WEEKDAY(D35),"Sunday","Monday","Tuesday","Wednesday","Thursday","Friday","Saturday")</f>
        <v>Saturday</v>
      </c>
      <c r="D35" s="201">
        <f t="shared" ref="D35" si="23">D33+1</f>
        <v>44695</v>
      </c>
      <c r="E35" s="118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18">
        <f>IFERROR(IF(E35=0,0,IF('OT Form'!G35="Yes",Sheet2!C30,0)),"")</f>
        <v>0</v>
      </c>
      <c r="G35" s="117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45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0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2"/>
      <c r="K35" s="213"/>
      <c r="L35" s="213"/>
      <c r="M35" s="213"/>
      <c r="N35" s="213"/>
      <c r="O35" s="213"/>
      <c r="P35" s="213"/>
      <c r="Q35" s="214"/>
      <c r="S35" s="11"/>
    </row>
    <row r="36" spans="3:19" s="21" customFormat="1" ht="15" customHeight="1" x14ac:dyDescent="0.25">
      <c r="C36" s="154"/>
      <c r="D36" s="202"/>
      <c r="E36" s="118">
        <f>IFERROR(IF(G36="Yes",Sheet2!B31,0),"")</f>
        <v>0</v>
      </c>
      <c r="F36" s="118">
        <f>IFERROR(IF('OT Form'!G36="Yes",Sheet2!C31,0),"")</f>
        <v>0</v>
      </c>
      <c r="G36" s="117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46"/>
      <c r="I36" s="211"/>
      <c r="J36" s="212"/>
      <c r="K36" s="213"/>
      <c r="L36" s="213"/>
      <c r="M36" s="213"/>
      <c r="N36" s="213"/>
      <c r="O36" s="213"/>
      <c r="P36" s="213"/>
      <c r="Q36" s="214"/>
      <c r="S36" s="11"/>
    </row>
    <row r="37" spans="3:19" s="21" customFormat="1" ht="15" customHeight="1" x14ac:dyDescent="0.25">
      <c r="C37" s="153" t="str">
        <f t="shared" ref="C37" si="24">CHOOSE(WEEKDAY(D37),"Sunday","Monday","Tuesday","Wednesday","Thursday","Friday","Saturday")</f>
        <v>Sunday</v>
      </c>
      <c r="D37" s="201">
        <f t="shared" ref="D37" si="25">D35+1</f>
        <v>44696</v>
      </c>
      <c r="E37" s="118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18">
        <f>IFERROR(IF(E37=0,0,IF('OT Form'!G37="Yes",Sheet2!C32,0)),"")</f>
        <v>0</v>
      </c>
      <c r="G37" s="11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45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0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2"/>
      <c r="K37" s="213"/>
      <c r="L37" s="213"/>
      <c r="M37" s="213"/>
      <c r="N37" s="213"/>
      <c r="O37" s="213"/>
      <c r="P37" s="213"/>
      <c r="Q37" s="214"/>
      <c r="S37" s="11"/>
    </row>
    <row r="38" spans="3:19" s="21" customFormat="1" ht="15" customHeight="1" x14ac:dyDescent="0.25">
      <c r="C38" s="154"/>
      <c r="D38" s="202"/>
      <c r="E38" s="118">
        <f>IFERROR(IF(G38="Yes",Sheet2!B33,0),"")</f>
        <v>0</v>
      </c>
      <c r="F38" s="118">
        <f>IFERROR(IF('OT Form'!G38="Yes",Sheet2!C33,0),"")</f>
        <v>0</v>
      </c>
      <c r="G38" s="11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46"/>
      <c r="I38" s="211"/>
      <c r="J38" s="212"/>
      <c r="K38" s="213"/>
      <c r="L38" s="213"/>
      <c r="M38" s="213"/>
      <c r="N38" s="213"/>
      <c r="O38" s="213"/>
      <c r="P38" s="213"/>
      <c r="Q38" s="214"/>
      <c r="S38" s="11"/>
    </row>
    <row r="39" spans="3:19" s="21" customFormat="1" ht="15" customHeight="1" x14ac:dyDescent="0.25">
      <c r="C39" s="153" t="str">
        <f t="shared" ref="C39" si="26">CHOOSE(WEEKDAY(D39),"Sunday","Monday","Tuesday","Wednesday","Thursday","Friday","Saturday")</f>
        <v>Monday</v>
      </c>
      <c r="D39" s="201">
        <f t="shared" ref="D39" si="27">D37+1</f>
        <v>44697</v>
      </c>
      <c r="E39" s="118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18">
        <f>IFERROR(IF(E39=0,0,IF('OT Form'!G39="Yes",Sheet2!C34,0)),"")</f>
        <v>0</v>
      </c>
      <c r="G39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45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0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2"/>
      <c r="K39" s="213"/>
      <c r="L39" s="213"/>
      <c r="M39" s="213"/>
      <c r="N39" s="213"/>
      <c r="O39" s="213"/>
      <c r="P39" s="213"/>
      <c r="Q39" s="214"/>
      <c r="S39" s="11"/>
    </row>
    <row r="40" spans="3:19" s="21" customFormat="1" ht="15" customHeight="1" x14ac:dyDescent="0.25">
      <c r="C40" s="154"/>
      <c r="D40" s="202"/>
      <c r="E40" s="118">
        <f>IFERROR(IF(G40="Yes",Sheet2!B35,0),"")</f>
        <v>0</v>
      </c>
      <c r="F40" s="118">
        <f>IFERROR(IF('OT Form'!G40="Yes",Sheet2!C35,0),"")</f>
        <v>0</v>
      </c>
      <c r="G40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46"/>
      <c r="I40" s="211"/>
      <c r="J40" s="212"/>
      <c r="K40" s="213"/>
      <c r="L40" s="213"/>
      <c r="M40" s="213"/>
      <c r="N40" s="213"/>
      <c r="O40" s="213"/>
      <c r="P40" s="213"/>
      <c r="Q40" s="214"/>
      <c r="S40" s="11"/>
    </row>
    <row r="41" spans="3:19" s="21" customFormat="1" ht="15" customHeight="1" x14ac:dyDescent="0.25">
      <c r="C41" s="151" t="str">
        <f t="shared" ref="C41" si="28">CHOOSE(WEEKDAY(D41),"Sunday","Monday","Tuesday","Wednesday","Thursday","Friday","Saturday")</f>
        <v>Tuesday</v>
      </c>
      <c r="D41" s="203">
        <f t="shared" ref="D41" si="29">D39+1</f>
        <v>44698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43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5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7"/>
      <c r="K41" s="208"/>
      <c r="L41" s="208"/>
      <c r="M41" s="208"/>
      <c r="N41" s="208"/>
      <c r="O41" s="208"/>
      <c r="P41" s="208"/>
      <c r="Q41" s="209"/>
      <c r="S41" s="11"/>
    </row>
    <row r="42" spans="3:19" s="21" customFormat="1" ht="15" customHeight="1" x14ac:dyDescent="0.25">
      <c r="C42" s="152"/>
      <c r="D42" s="204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44"/>
      <c r="I42" s="206"/>
      <c r="J42" s="207"/>
      <c r="K42" s="208"/>
      <c r="L42" s="208"/>
      <c r="M42" s="208"/>
      <c r="N42" s="208"/>
      <c r="O42" s="208"/>
      <c r="P42" s="208"/>
      <c r="Q42" s="209"/>
      <c r="S42" s="11"/>
    </row>
    <row r="43" spans="3:19" s="21" customFormat="1" ht="15" customHeight="1" x14ac:dyDescent="0.25">
      <c r="C43" s="151" t="str">
        <f t="shared" ref="C43" si="30">CHOOSE(WEEKDAY(D43),"Sunday","Monday","Tuesday","Wednesday","Thursday","Friday","Saturday")</f>
        <v>Wednesday</v>
      </c>
      <c r="D43" s="203">
        <f t="shared" ref="D43" si="31">D41+1</f>
        <v>44699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43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5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7"/>
      <c r="K43" s="208"/>
      <c r="L43" s="208"/>
      <c r="M43" s="208"/>
      <c r="N43" s="208"/>
      <c r="O43" s="208"/>
      <c r="P43" s="208"/>
      <c r="Q43" s="209"/>
      <c r="S43" s="11"/>
    </row>
    <row r="44" spans="3:19" s="21" customFormat="1" ht="15" customHeight="1" x14ac:dyDescent="0.25">
      <c r="C44" s="152"/>
      <c r="D44" s="204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44"/>
      <c r="I44" s="206"/>
      <c r="J44" s="207"/>
      <c r="K44" s="208"/>
      <c r="L44" s="208"/>
      <c r="M44" s="208"/>
      <c r="N44" s="208"/>
      <c r="O44" s="208"/>
      <c r="P44" s="208"/>
      <c r="Q44" s="209"/>
      <c r="S44" s="11"/>
    </row>
    <row r="45" spans="3:19" s="21" customFormat="1" ht="15" customHeight="1" x14ac:dyDescent="0.25">
      <c r="C45" s="151" t="str">
        <f t="shared" ref="C45" si="32">CHOOSE(WEEKDAY(D45),"Sunday","Monday","Tuesday","Wednesday","Thursday","Friday","Saturday")</f>
        <v>Thursday</v>
      </c>
      <c r="D45" s="203">
        <f t="shared" ref="D45" si="33">D43+1</f>
        <v>44700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43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5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7"/>
      <c r="K45" s="208"/>
      <c r="L45" s="208"/>
      <c r="M45" s="208"/>
      <c r="N45" s="208"/>
      <c r="O45" s="208"/>
      <c r="P45" s="208"/>
      <c r="Q45" s="209"/>
      <c r="S45" s="11"/>
    </row>
    <row r="46" spans="3:19" s="21" customFormat="1" ht="15" customHeight="1" x14ac:dyDescent="0.25">
      <c r="C46" s="152"/>
      <c r="D46" s="204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44"/>
      <c r="I46" s="206"/>
      <c r="J46" s="207"/>
      <c r="K46" s="208"/>
      <c r="L46" s="208"/>
      <c r="M46" s="208"/>
      <c r="N46" s="208"/>
      <c r="O46" s="208"/>
      <c r="P46" s="208"/>
      <c r="Q46" s="209"/>
      <c r="S46" s="11"/>
    </row>
    <row r="47" spans="3:19" s="21" customFormat="1" ht="15" customHeight="1" x14ac:dyDescent="0.25">
      <c r="C47" s="151" t="str">
        <f t="shared" ref="C47" si="34">CHOOSE(WEEKDAY(D47),"Sunday","Monday","Tuesday","Wednesday","Thursday","Friday","Saturday")</f>
        <v>Friday</v>
      </c>
      <c r="D47" s="203">
        <f t="shared" ref="D47" si="35">D45+1</f>
        <v>44701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43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5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7"/>
      <c r="K47" s="208"/>
      <c r="L47" s="208"/>
      <c r="M47" s="208"/>
      <c r="N47" s="208"/>
      <c r="O47" s="208"/>
      <c r="P47" s="208"/>
      <c r="Q47" s="209"/>
      <c r="S47" s="11"/>
    </row>
    <row r="48" spans="3:19" s="21" customFormat="1" ht="15" customHeight="1" x14ac:dyDescent="0.25">
      <c r="C48" s="152"/>
      <c r="D48" s="204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44"/>
      <c r="I48" s="206"/>
      <c r="J48" s="207"/>
      <c r="K48" s="208"/>
      <c r="L48" s="208"/>
      <c r="M48" s="208"/>
      <c r="N48" s="208"/>
      <c r="O48" s="208"/>
      <c r="P48" s="208"/>
      <c r="Q48" s="209"/>
      <c r="S48" s="11"/>
    </row>
    <row r="49" spans="3:19" s="21" customFormat="1" ht="15" customHeight="1" x14ac:dyDescent="0.25">
      <c r="C49" s="153" t="str">
        <f t="shared" ref="C49" si="36">CHOOSE(WEEKDAY(D49),"Sunday","Monday","Tuesday","Wednesday","Thursday","Friday","Saturday")</f>
        <v>Saturday</v>
      </c>
      <c r="D49" s="201">
        <f t="shared" ref="D49" si="37">D47+1</f>
        <v>44702</v>
      </c>
      <c r="E49" s="118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118">
        <f>IFERROR(IF(E49=0,0,IF('OT Form'!G49="Yes",Sheet2!C44,0)),"")</f>
        <v>0</v>
      </c>
      <c r="G49" s="117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45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0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2"/>
      <c r="K49" s="213"/>
      <c r="L49" s="213"/>
      <c r="M49" s="213"/>
      <c r="N49" s="213"/>
      <c r="O49" s="213"/>
      <c r="P49" s="213"/>
      <c r="Q49" s="214"/>
      <c r="S49" s="11"/>
    </row>
    <row r="50" spans="3:19" s="21" customFormat="1" ht="15" customHeight="1" x14ac:dyDescent="0.25">
      <c r="C50" s="154"/>
      <c r="D50" s="202"/>
      <c r="E50" s="118">
        <f>IFERROR(IF(G50="Yes",Sheet2!B45,0),"")</f>
        <v>0</v>
      </c>
      <c r="F50" s="118">
        <f>IFERROR(IF('OT Form'!G50="Yes",Sheet2!C45,0),"")</f>
        <v>0</v>
      </c>
      <c r="G50" s="117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46"/>
      <c r="I50" s="211"/>
      <c r="J50" s="212"/>
      <c r="K50" s="213"/>
      <c r="L50" s="213"/>
      <c r="M50" s="213"/>
      <c r="N50" s="213"/>
      <c r="O50" s="213"/>
      <c r="P50" s="213"/>
      <c r="Q50" s="214"/>
      <c r="S50" s="11"/>
    </row>
    <row r="51" spans="3:19" s="21" customFormat="1" ht="15" customHeight="1" x14ac:dyDescent="0.25">
      <c r="C51" s="153" t="str">
        <f t="shared" ref="C51" si="38">CHOOSE(WEEKDAY(D51),"Sunday","Monday","Tuesday","Wednesday","Thursday","Friday","Saturday")</f>
        <v>Sunday</v>
      </c>
      <c r="D51" s="201">
        <f t="shared" ref="D51" si="39">D49+1</f>
        <v>44703</v>
      </c>
      <c r="E51" s="118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118">
        <f>IFERROR(IF(E51=0,0,IF('OT Form'!G51="Yes",Sheet2!C46,0)),"")</f>
        <v>0</v>
      </c>
      <c r="G51" s="117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45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0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2"/>
      <c r="K51" s="213"/>
      <c r="L51" s="213"/>
      <c r="M51" s="213"/>
      <c r="N51" s="213"/>
      <c r="O51" s="213"/>
      <c r="P51" s="213"/>
      <c r="Q51" s="214"/>
      <c r="S51" s="11"/>
    </row>
    <row r="52" spans="3:19" s="21" customFormat="1" ht="15" customHeight="1" x14ac:dyDescent="0.25">
      <c r="C52" s="154"/>
      <c r="D52" s="202"/>
      <c r="E52" s="118">
        <f>IFERROR(IF(G52="Yes",Sheet2!B47,0),"")</f>
        <v>0</v>
      </c>
      <c r="F52" s="118">
        <f>IFERROR(IF('OT Form'!G52="Yes",Sheet2!C47,0),"")</f>
        <v>0</v>
      </c>
      <c r="G52" s="117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46"/>
      <c r="I52" s="211"/>
      <c r="J52" s="212"/>
      <c r="K52" s="213"/>
      <c r="L52" s="213"/>
      <c r="M52" s="213"/>
      <c r="N52" s="213"/>
      <c r="O52" s="213"/>
      <c r="P52" s="213"/>
      <c r="Q52" s="214"/>
      <c r="S52" s="11"/>
    </row>
    <row r="53" spans="3:19" s="21" customFormat="1" ht="15" customHeight="1" x14ac:dyDescent="0.25">
      <c r="C53" s="151" t="str">
        <f t="shared" ref="C53" si="40">CHOOSE(WEEKDAY(D53),"Sunday","Monday","Tuesday","Wednesday","Thursday","Friday","Saturday")</f>
        <v>Monday</v>
      </c>
      <c r="D53" s="203">
        <f t="shared" ref="D53" si="41">D51+1</f>
        <v>44704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43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5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7"/>
      <c r="K53" s="208"/>
      <c r="L53" s="208"/>
      <c r="M53" s="208"/>
      <c r="N53" s="208"/>
      <c r="O53" s="208"/>
      <c r="P53" s="208"/>
      <c r="Q53" s="209"/>
      <c r="S53" s="11"/>
    </row>
    <row r="54" spans="3:19" s="21" customFormat="1" ht="15" customHeight="1" x14ac:dyDescent="0.25">
      <c r="C54" s="152"/>
      <c r="D54" s="204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44"/>
      <c r="I54" s="206"/>
      <c r="J54" s="207"/>
      <c r="K54" s="208"/>
      <c r="L54" s="208"/>
      <c r="M54" s="208"/>
      <c r="N54" s="208"/>
      <c r="O54" s="208"/>
      <c r="P54" s="208"/>
      <c r="Q54" s="209"/>
      <c r="S54" s="11"/>
    </row>
    <row r="55" spans="3:19" s="21" customFormat="1" ht="15" customHeight="1" x14ac:dyDescent="0.25">
      <c r="C55" s="151" t="str">
        <f t="shared" ref="C55" si="42">CHOOSE(WEEKDAY(D55),"Sunday","Monday","Tuesday","Wednesday","Thursday","Friday","Saturday")</f>
        <v>Tuesday</v>
      </c>
      <c r="D55" s="203">
        <f t="shared" ref="D55" si="43">D53+1</f>
        <v>44705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43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5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7"/>
      <c r="K55" s="208"/>
      <c r="L55" s="208"/>
      <c r="M55" s="208"/>
      <c r="N55" s="208"/>
      <c r="O55" s="208"/>
      <c r="P55" s="208"/>
      <c r="Q55" s="209"/>
      <c r="S55" s="11"/>
    </row>
    <row r="56" spans="3:19" s="21" customFormat="1" ht="15" customHeight="1" x14ac:dyDescent="0.25">
      <c r="C56" s="152"/>
      <c r="D56" s="204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44"/>
      <c r="I56" s="206"/>
      <c r="J56" s="207"/>
      <c r="K56" s="208"/>
      <c r="L56" s="208"/>
      <c r="M56" s="208"/>
      <c r="N56" s="208"/>
      <c r="O56" s="208"/>
      <c r="P56" s="208"/>
      <c r="Q56" s="209"/>
      <c r="S56" s="11"/>
    </row>
    <row r="57" spans="3:19" s="21" customFormat="1" ht="15" customHeight="1" x14ac:dyDescent="0.25">
      <c r="C57" s="151" t="str">
        <f t="shared" ref="C57" si="44">CHOOSE(WEEKDAY(D57),"Sunday","Monday","Tuesday","Wednesday","Thursday","Friday","Saturday")</f>
        <v>Wednesday</v>
      </c>
      <c r="D57" s="203">
        <f t="shared" ref="D57" si="45">D55+1</f>
        <v>44706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43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5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7"/>
      <c r="K57" s="208"/>
      <c r="L57" s="208"/>
      <c r="M57" s="208"/>
      <c r="N57" s="208"/>
      <c r="O57" s="208"/>
      <c r="P57" s="208"/>
      <c r="Q57" s="209"/>
      <c r="S57" s="11"/>
    </row>
    <row r="58" spans="3:19" s="21" customFormat="1" ht="15" customHeight="1" x14ac:dyDescent="0.25">
      <c r="C58" s="152"/>
      <c r="D58" s="204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44"/>
      <c r="I58" s="206"/>
      <c r="J58" s="207"/>
      <c r="K58" s="208"/>
      <c r="L58" s="208"/>
      <c r="M58" s="208"/>
      <c r="N58" s="208"/>
      <c r="O58" s="208"/>
      <c r="P58" s="208"/>
      <c r="Q58" s="209"/>
      <c r="S58" s="11"/>
    </row>
    <row r="59" spans="3:19" s="21" customFormat="1" ht="15" customHeight="1" x14ac:dyDescent="0.25">
      <c r="C59" s="153" t="str">
        <f t="shared" ref="C59" si="46">CHOOSE(WEEKDAY(D59),"Sunday","Monday","Tuesday","Wednesday","Thursday","Friday","Saturday")</f>
        <v>Thursday</v>
      </c>
      <c r="D59" s="201">
        <f t="shared" ref="D59" si="47">D57+1</f>
        <v>44707</v>
      </c>
      <c r="E59" s="118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8">
        <f>IFERROR(IF(E59=0,0,IF('OT Form'!G59="Yes",Sheet2!C54,0)),"")</f>
        <v>0</v>
      </c>
      <c r="G59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45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0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2"/>
      <c r="K59" s="213"/>
      <c r="L59" s="213"/>
      <c r="M59" s="213"/>
      <c r="N59" s="213"/>
      <c r="O59" s="213"/>
      <c r="P59" s="213"/>
      <c r="Q59" s="214"/>
      <c r="S59" s="11"/>
    </row>
    <row r="60" spans="3:19" s="21" customFormat="1" ht="15" customHeight="1" x14ac:dyDescent="0.25">
      <c r="C60" s="154"/>
      <c r="D60" s="202"/>
      <c r="E60" s="118">
        <f>IFERROR(IF(G60="Yes",Sheet2!B55,0),"")</f>
        <v>0</v>
      </c>
      <c r="F60" s="118">
        <f>IFERROR(IF('OT Form'!G60="Yes",Sheet2!C55,0),"")</f>
        <v>0</v>
      </c>
      <c r="G60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46"/>
      <c r="I60" s="211"/>
      <c r="J60" s="212"/>
      <c r="K60" s="213"/>
      <c r="L60" s="213"/>
      <c r="M60" s="213"/>
      <c r="N60" s="213"/>
      <c r="O60" s="213"/>
      <c r="P60" s="213"/>
      <c r="Q60" s="214"/>
      <c r="S60" s="11"/>
    </row>
    <row r="61" spans="3:19" s="21" customFormat="1" ht="15" customHeight="1" x14ac:dyDescent="0.25">
      <c r="C61" s="151" t="str">
        <f t="shared" ref="C61" si="48">CHOOSE(WEEKDAY(D61),"Sunday","Monday","Tuesday","Wednesday","Thursday","Friday","Saturday")</f>
        <v>Friday</v>
      </c>
      <c r="D61" s="203">
        <f t="shared" ref="D61" si="49">D59+1</f>
        <v>44708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43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5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7"/>
      <c r="K61" s="208"/>
      <c r="L61" s="208"/>
      <c r="M61" s="208"/>
      <c r="N61" s="208"/>
      <c r="O61" s="208"/>
      <c r="P61" s="208"/>
      <c r="Q61" s="209"/>
      <c r="S61" s="11"/>
    </row>
    <row r="62" spans="3:19" s="21" customFormat="1" ht="15" customHeight="1" x14ac:dyDescent="0.25">
      <c r="C62" s="152"/>
      <c r="D62" s="204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44"/>
      <c r="I62" s="206"/>
      <c r="J62" s="207"/>
      <c r="K62" s="208"/>
      <c r="L62" s="208"/>
      <c r="M62" s="208"/>
      <c r="N62" s="208"/>
      <c r="O62" s="208"/>
      <c r="P62" s="208"/>
      <c r="Q62" s="209"/>
      <c r="S62" s="11"/>
    </row>
    <row r="63" spans="3:19" s="21" customFormat="1" ht="15" customHeight="1" x14ac:dyDescent="0.25">
      <c r="C63" s="153" t="str">
        <f t="shared" ref="C63" si="50">CHOOSE(WEEKDAY(D63),"Sunday","Monday","Tuesday","Wednesday","Thursday","Friday","Saturday")</f>
        <v>Saturday</v>
      </c>
      <c r="D63" s="201">
        <f t="shared" ref="D63" si="51">D61+1</f>
        <v>44709</v>
      </c>
      <c r="E63" s="118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18">
        <f>IFERROR(IF(E63=0,0,IF('OT Form'!G63="Yes",Sheet2!C58,0)),"")</f>
        <v>0</v>
      </c>
      <c r="G63" s="11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45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0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2"/>
      <c r="K63" s="213"/>
      <c r="L63" s="213"/>
      <c r="M63" s="213"/>
      <c r="N63" s="213"/>
      <c r="O63" s="213"/>
      <c r="P63" s="213"/>
      <c r="Q63" s="214"/>
      <c r="S63" s="11"/>
    </row>
    <row r="64" spans="3:19" s="21" customFormat="1" ht="15" customHeight="1" x14ac:dyDescent="0.25">
      <c r="C64" s="154"/>
      <c r="D64" s="202"/>
      <c r="E64" s="118">
        <f>IFERROR(IF(G64="Yes",Sheet2!B59,0),"")</f>
        <v>0</v>
      </c>
      <c r="F64" s="118">
        <f>IFERROR(IF('OT Form'!G64="Yes",Sheet2!C59,0),"")</f>
        <v>0</v>
      </c>
      <c r="G64" s="11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46"/>
      <c r="I64" s="211"/>
      <c r="J64" s="212"/>
      <c r="K64" s="213"/>
      <c r="L64" s="213"/>
      <c r="M64" s="213"/>
      <c r="N64" s="213"/>
      <c r="O64" s="213"/>
      <c r="P64" s="213"/>
      <c r="Q64" s="214"/>
      <c r="S64" s="11"/>
    </row>
    <row r="65" spans="2:24" s="21" customFormat="1" ht="15" customHeight="1" x14ac:dyDescent="0.25">
      <c r="C65" s="153" t="str">
        <f t="shared" ref="C65" si="52">CHOOSE(WEEKDAY(D65),"Sunday","Monday","Tuesday","Wednesday","Thursday","Friday","Saturday")</f>
        <v>Sunday</v>
      </c>
      <c r="D65" s="201">
        <f t="shared" ref="D65:D69" si="53">D63+1</f>
        <v>44710</v>
      </c>
      <c r="E65" s="118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18">
        <f>IFERROR(IF(E65=0,0,IF('OT Form'!G65="Yes",Sheet2!C60,0)),"")</f>
        <v>0</v>
      </c>
      <c r="G65" s="117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45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0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2"/>
      <c r="K65" s="213"/>
      <c r="L65" s="213"/>
      <c r="M65" s="213"/>
      <c r="N65" s="213"/>
      <c r="O65" s="213"/>
      <c r="P65" s="213"/>
      <c r="Q65" s="214"/>
      <c r="S65" s="11"/>
    </row>
    <row r="66" spans="2:24" s="21" customFormat="1" ht="15" customHeight="1" x14ac:dyDescent="0.25">
      <c r="C66" s="154"/>
      <c r="D66" s="202"/>
      <c r="E66" s="118">
        <f>IFERROR(IF(G66="Yes",Sheet2!B61,0),"")</f>
        <v>0</v>
      </c>
      <c r="F66" s="118">
        <f>IFERROR(IF('OT Form'!G66="Yes",Sheet2!C61,0),"")</f>
        <v>0</v>
      </c>
      <c r="G66" s="117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46"/>
      <c r="I66" s="211"/>
      <c r="J66" s="212"/>
      <c r="K66" s="213"/>
      <c r="L66" s="213"/>
      <c r="M66" s="213"/>
      <c r="N66" s="213"/>
      <c r="O66" s="213"/>
      <c r="P66" s="213"/>
      <c r="Q66" s="214"/>
      <c r="S66" s="11"/>
    </row>
    <row r="67" spans="2:24" s="21" customFormat="1" ht="15" customHeight="1" x14ac:dyDescent="0.25">
      <c r="C67" s="151" t="str">
        <f t="shared" ref="C67" si="54">CHOOSE(WEEKDAY(D67),"Sunday","Monday","Tuesday","Wednesday","Thursday","Friday","Saturday")</f>
        <v>Monday</v>
      </c>
      <c r="D67" s="203">
        <f t="shared" si="53"/>
        <v>44711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43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5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7"/>
      <c r="K67" s="208"/>
      <c r="L67" s="208"/>
      <c r="M67" s="208"/>
      <c r="N67" s="208"/>
      <c r="O67" s="208"/>
      <c r="P67" s="208"/>
      <c r="Q67" s="209"/>
      <c r="S67" s="11"/>
    </row>
    <row r="68" spans="2:24" s="21" customFormat="1" ht="15" customHeight="1" x14ac:dyDescent="0.25">
      <c r="C68" s="152"/>
      <c r="D68" s="204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44"/>
      <c r="I68" s="206"/>
      <c r="J68" s="207"/>
      <c r="K68" s="208"/>
      <c r="L68" s="208"/>
      <c r="M68" s="208"/>
      <c r="N68" s="208"/>
      <c r="O68" s="208"/>
      <c r="P68" s="208"/>
      <c r="Q68" s="209"/>
      <c r="S68" s="11"/>
    </row>
    <row r="69" spans="2:24" s="21" customFormat="1" ht="15.75" x14ac:dyDescent="0.25">
      <c r="C69" s="151" t="str">
        <f t="shared" ref="C69" si="55">CHOOSE(WEEKDAY(D69),"Sunday","Monday","Tuesday","Wednesday","Thursday","Friday","Saturday")</f>
        <v>Tuesday</v>
      </c>
      <c r="D69" s="203">
        <f t="shared" si="53"/>
        <v>44712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43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5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7"/>
      <c r="K69" s="208"/>
      <c r="L69" s="208"/>
      <c r="M69" s="208"/>
      <c r="N69" s="208"/>
      <c r="O69" s="208"/>
      <c r="P69" s="208"/>
      <c r="Q69" s="209"/>
      <c r="S69" s="11"/>
    </row>
    <row r="70" spans="2:24" s="21" customFormat="1" ht="15" customHeight="1" x14ac:dyDescent="0.25">
      <c r="C70" s="152"/>
      <c r="D70" s="204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44"/>
      <c r="I70" s="206"/>
      <c r="J70" s="207"/>
      <c r="K70" s="208"/>
      <c r="L70" s="208"/>
      <c r="M70" s="208"/>
      <c r="N70" s="208"/>
      <c r="O70" s="208"/>
      <c r="P70" s="208"/>
      <c r="Q70" s="209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95" t="s">
        <v>147</v>
      </c>
      <c r="F74" s="197"/>
      <c r="G74" s="195" t="s">
        <v>148</v>
      </c>
      <c r="H74" s="197"/>
      <c r="I74" s="195" t="s">
        <v>149</v>
      </c>
      <c r="J74" s="197"/>
      <c r="K74" s="195" t="s">
        <v>150</v>
      </c>
      <c r="L74" s="197"/>
      <c r="N74" s="10"/>
      <c r="O74" s="10"/>
      <c r="P74" s="10"/>
      <c r="Q74" s="10"/>
    </row>
    <row r="75" spans="2:24" s="21" customFormat="1" ht="15" customHeight="1" x14ac:dyDescent="0.25">
      <c r="B75" s="18"/>
      <c r="E75" s="222">
        <f>SUM(H9:H70)</f>
        <v>0</v>
      </c>
      <c r="F75" s="223"/>
      <c r="G75" s="222">
        <f>COUNTIF(H9:H70,"&gt;0")</f>
        <v>0</v>
      </c>
      <c r="H75" s="223"/>
      <c r="I75" s="222">
        <f>SUM(I9:I70)</f>
        <v>0</v>
      </c>
      <c r="J75" s="223"/>
      <c r="K75" s="222">
        <f>COUNTIF(I9:I70,"&gt;0")</f>
        <v>0</v>
      </c>
      <c r="L75" s="223"/>
      <c r="N75" s="10"/>
      <c r="O75" s="10"/>
      <c r="P75" s="10"/>
      <c r="Q75" s="10"/>
    </row>
    <row r="76" spans="2:24" s="21" customFormat="1" ht="15" customHeight="1" x14ac:dyDescent="0.25">
      <c r="B76" s="18"/>
      <c r="E76" s="224"/>
      <c r="F76" s="225"/>
      <c r="G76" s="224"/>
      <c r="H76" s="225"/>
      <c r="I76" s="224"/>
      <c r="J76" s="225"/>
      <c r="K76" s="224"/>
      <c r="L76" s="225"/>
      <c r="N76" s="10"/>
      <c r="O76" s="10"/>
      <c r="P76" s="10"/>
      <c r="Q76" s="10"/>
    </row>
    <row r="77" spans="2:24" s="21" customFormat="1" ht="15" customHeight="1" x14ac:dyDescent="0.25">
      <c r="B77" s="18"/>
      <c r="E77" s="226"/>
      <c r="F77" s="227"/>
      <c r="G77" s="226"/>
      <c r="H77" s="227"/>
      <c r="I77" s="226"/>
      <c r="J77" s="227"/>
      <c r="K77" s="226"/>
      <c r="L77" s="227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37" t="s">
        <v>1</v>
      </c>
      <c r="C81" s="137"/>
      <c r="D81" s="137" t="s">
        <v>11</v>
      </c>
      <c r="E81" s="137"/>
      <c r="F81" s="137"/>
      <c r="G81" s="137" t="s">
        <v>138</v>
      </c>
      <c r="H81" s="137"/>
      <c r="I81" s="137" t="s">
        <v>11</v>
      </c>
      <c r="J81" s="137"/>
      <c r="K81" s="137"/>
      <c r="L81" s="137" t="s">
        <v>139</v>
      </c>
      <c r="M81" s="137"/>
      <c r="N81" s="137"/>
      <c r="O81" s="195" t="s">
        <v>11</v>
      </c>
      <c r="P81" s="196"/>
      <c r="Q81" s="196"/>
      <c r="R81" s="197"/>
      <c r="S81" s="61"/>
    </row>
    <row r="82" spans="2:20" ht="15" customHeight="1" x14ac:dyDescent="0.25">
      <c r="B82" s="228">
        <f>F3</f>
        <v>0</v>
      </c>
      <c r="C82" s="228"/>
      <c r="D82" s="229"/>
      <c r="E82" s="229"/>
      <c r="F82" s="229"/>
      <c r="G82" s="183"/>
      <c r="H82" s="184"/>
      <c r="I82" s="230"/>
      <c r="J82" s="230"/>
      <c r="K82" s="230"/>
      <c r="L82" s="183"/>
      <c r="M82" s="184"/>
      <c r="N82" s="185"/>
      <c r="O82" s="167"/>
      <c r="P82" s="168"/>
      <c r="Q82" s="168"/>
      <c r="R82" s="169"/>
      <c r="S82" s="62"/>
    </row>
    <row r="83" spans="2:20" ht="15" customHeight="1" x14ac:dyDescent="0.25">
      <c r="B83" s="228"/>
      <c r="C83" s="228"/>
      <c r="D83" s="229"/>
      <c r="E83" s="229"/>
      <c r="F83" s="229"/>
      <c r="G83" s="186"/>
      <c r="H83" s="187"/>
      <c r="I83" s="230"/>
      <c r="J83" s="230"/>
      <c r="K83" s="230"/>
      <c r="L83" s="186"/>
      <c r="M83" s="187"/>
      <c r="N83" s="188"/>
      <c r="O83" s="170"/>
      <c r="P83" s="171"/>
      <c r="Q83" s="171"/>
      <c r="R83" s="172"/>
      <c r="S83" s="62"/>
    </row>
    <row r="84" spans="2:20" ht="15" customHeight="1" x14ac:dyDescent="0.25">
      <c r="B84" s="228"/>
      <c r="C84" s="228"/>
      <c r="D84" s="229"/>
      <c r="E84" s="229"/>
      <c r="F84" s="229"/>
      <c r="G84" s="186"/>
      <c r="H84" s="187"/>
      <c r="I84" s="230"/>
      <c r="J84" s="230"/>
      <c r="K84" s="230"/>
      <c r="L84" s="186"/>
      <c r="M84" s="187"/>
      <c r="N84" s="188"/>
      <c r="O84" s="170"/>
      <c r="P84" s="171"/>
      <c r="Q84" s="171"/>
      <c r="R84" s="172"/>
      <c r="S84" s="62"/>
    </row>
    <row r="85" spans="2:20" ht="15" customHeight="1" x14ac:dyDescent="0.25">
      <c r="B85" s="228"/>
      <c r="C85" s="228"/>
      <c r="D85" s="229"/>
      <c r="E85" s="229"/>
      <c r="F85" s="229"/>
      <c r="G85" s="189"/>
      <c r="H85" s="190"/>
      <c r="I85" s="230"/>
      <c r="J85" s="230"/>
      <c r="K85" s="230"/>
      <c r="L85" s="189"/>
      <c r="M85" s="190"/>
      <c r="N85" s="191"/>
      <c r="O85" s="173"/>
      <c r="P85" s="174"/>
      <c r="Q85" s="174"/>
      <c r="R85" s="175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umB6gpYnS1TrkJlanAPphaG32movHTPPCZO7QVL0TWTtidnPlm3yYiSf93e/n7G9dohle7b21jMy57fMVdvL4g==" saltValue="Sk0fB9Uzn9tEpOpY4dDL0Q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2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2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G19" sqref="G19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25">
      <c r="A3" s="103" t="s">
        <v>179</v>
      </c>
      <c r="J3">
        <f>'Timesheet-Regular'!D6</f>
        <v>0</v>
      </c>
      <c r="K3" s="239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8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>
        <v>44593</v>
      </c>
      <c r="K4" s="239"/>
      <c r="L4" s="238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18</v>
      </c>
      <c r="G5" s="106" t="s">
        <v>44</v>
      </c>
      <c r="H5" s="7" t="s">
        <v>44</v>
      </c>
      <c r="I5" s="9">
        <v>44620</v>
      </c>
      <c r="J5" t="str">
        <f>IF(J3="yes","Morning","")</f>
        <v/>
      </c>
      <c r="K5" s="239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8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>
        <v>44623</v>
      </c>
      <c r="J6" t="str">
        <f>IF(J3="yes","Afternoon","")</f>
        <v/>
      </c>
      <c r="K6" s="239"/>
      <c r="L6" s="238"/>
    </row>
    <row r="7" spans="1:12" x14ac:dyDescent="0.25">
      <c r="A7" s="99" t="s">
        <v>24</v>
      </c>
      <c r="B7" s="93" t="s">
        <v>135</v>
      </c>
      <c r="C7" s="5"/>
      <c r="D7" s="5"/>
      <c r="E7" s="105">
        <v>44652</v>
      </c>
      <c r="F7" s="111">
        <v>20</v>
      </c>
      <c r="G7" s="106" t="s">
        <v>129</v>
      </c>
      <c r="H7" s="7" t="s">
        <v>46</v>
      </c>
      <c r="I7" s="9">
        <v>44666</v>
      </c>
      <c r="J7" t="str">
        <f>IF(J3="yes","Night","")</f>
        <v/>
      </c>
      <c r="K7" s="239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8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>
        <v>44683</v>
      </c>
      <c r="K8" s="239"/>
      <c r="L8" s="238"/>
    </row>
    <row r="9" spans="1:12" x14ac:dyDescent="0.2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>
        <v>44684</v>
      </c>
      <c r="K9" s="23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8" t="str">
        <f>IF('Timesheet-Regular'!$D$6="No","",'Timesheet-Regular'!G17)</f>
        <v/>
      </c>
    </row>
    <row r="10" spans="1:12" x14ac:dyDescent="0.25">
      <c r="A10" s="101" t="s">
        <v>224</v>
      </c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>
        <v>44697</v>
      </c>
      <c r="K10" s="239"/>
      <c r="L10" s="238"/>
    </row>
    <row r="11" spans="1:12" x14ac:dyDescent="0.2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>
        <v>44707</v>
      </c>
      <c r="K11" s="23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8" t="str">
        <f>IF('Timesheet-Regular'!$D$6="No","",'Timesheet-Regular'!G19)</f>
        <v/>
      </c>
    </row>
    <row r="12" spans="1:12" x14ac:dyDescent="0.2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/>
      <c r="K12" s="239"/>
      <c r="L12" s="238"/>
    </row>
    <row r="13" spans="1:12" x14ac:dyDescent="0.2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3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8" t="str">
        <f>IF('Timesheet-Regular'!$D$6="No","",'Timesheet-Regular'!G21)</f>
        <v/>
      </c>
    </row>
    <row r="14" spans="1:12" x14ac:dyDescent="0.2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39"/>
      <c r="L14" s="238"/>
    </row>
    <row r="15" spans="1:12" x14ac:dyDescent="0.2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39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38" t="str">
        <f>IF('Timesheet-Regular'!$D$6="No","",'Timesheet-Regular'!G23)</f>
        <v/>
      </c>
    </row>
    <row r="16" spans="1:12" x14ac:dyDescent="0.25">
      <c r="A16" s="100" t="s">
        <v>188</v>
      </c>
      <c r="B16" s="93" t="s">
        <v>35</v>
      </c>
      <c r="C16" s="5"/>
      <c r="D16" s="5"/>
      <c r="E16" s="4"/>
      <c r="F16" s="112"/>
      <c r="I16" s="9"/>
      <c r="K16" s="239"/>
      <c r="L16" s="238"/>
    </row>
    <row r="17" spans="1:12" x14ac:dyDescent="0.25">
      <c r="A17" s="100" t="s">
        <v>194</v>
      </c>
      <c r="B17" s="93" t="s">
        <v>136</v>
      </c>
      <c r="C17" s="5"/>
      <c r="D17" s="5"/>
      <c r="E17" s="4"/>
      <c r="F17" s="112"/>
      <c r="I17" s="9"/>
      <c r="K17" s="239" t="str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/>
      </c>
      <c r="L17" s="238" t="str">
        <f>IF('Timesheet-Regular'!$D$6="No","",'Timesheet-Regular'!G25)</f>
        <v/>
      </c>
    </row>
    <row r="18" spans="1:12" x14ac:dyDescent="0.2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18</v>
      </c>
      <c r="G18" s="26"/>
      <c r="I18" s="9"/>
      <c r="K18" s="239"/>
      <c r="L18" s="238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18</v>
      </c>
      <c r="K19" s="23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8" t="str">
        <f>IF('Timesheet-Regular'!$D$6="No","",'Timesheet-Regular'!G27)</f>
        <v/>
      </c>
    </row>
    <row r="20" spans="1:12" x14ac:dyDescent="0.25">
      <c r="A20" s="100" t="s">
        <v>215</v>
      </c>
      <c r="B20" s="93" t="s">
        <v>36</v>
      </c>
      <c r="C20" s="5"/>
      <c r="D20" s="5"/>
      <c r="E20" s="4"/>
      <c r="F20" s="112"/>
      <c r="K20" s="239"/>
      <c r="L20" s="238"/>
    </row>
    <row r="21" spans="1:12" x14ac:dyDescent="0.25">
      <c r="A21" s="101" t="s">
        <v>85</v>
      </c>
      <c r="B21" s="93" t="s">
        <v>214</v>
      </c>
      <c r="C21" s="5"/>
      <c r="D21" s="5"/>
      <c r="F21" s="112"/>
      <c r="K21" s="23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8" t="str">
        <f>IF('Timesheet-Regular'!$D$6="No","",'Timesheet-Regular'!G29)</f>
        <v/>
      </c>
    </row>
    <row r="22" spans="1:12" x14ac:dyDescent="0.25">
      <c r="A22" s="101" t="s">
        <v>201</v>
      </c>
      <c r="B22" s="93" t="s">
        <v>81</v>
      </c>
      <c r="C22" s="5"/>
      <c r="D22" s="5"/>
      <c r="F22" s="112"/>
      <c r="K22" s="239"/>
      <c r="L22" s="238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3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8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174</v>
      </c>
      <c r="C24" s="5"/>
      <c r="D24" s="5"/>
      <c r="F24" s="112"/>
      <c r="K24" s="239"/>
      <c r="L24" s="238"/>
    </row>
    <row r="25" spans="1:12" x14ac:dyDescent="0.25">
      <c r="A25" s="101"/>
      <c r="B25" s="93" t="s">
        <v>212</v>
      </c>
      <c r="C25" s="5"/>
      <c r="D25" s="5"/>
      <c r="F25" s="112"/>
      <c r="K25" s="23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8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39"/>
      <c r="L26" s="238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3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8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39"/>
      <c r="L28" s="238"/>
    </row>
    <row r="29" spans="1:12" x14ac:dyDescent="0.25">
      <c r="A29" s="101" t="s">
        <v>204</v>
      </c>
      <c r="B29" s="93" t="s">
        <v>38</v>
      </c>
      <c r="C29" s="5"/>
      <c r="D29" s="5"/>
      <c r="F29" s="112"/>
      <c r="K29" s="239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8" t="str">
        <f>IF('Timesheet-Regular'!$D$6="No","",'Timesheet-Regular'!G37)</f>
        <v/>
      </c>
    </row>
    <row r="30" spans="1:12" x14ac:dyDescent="0.25">
      <c r="A30" s="99" t="s">
        <v>28</v>
      </c>
      <c r="B30" s="93" t="s">
        <v>188</v>
      </c>
      <c r="C30" s="5"/>
      <c r="D30" s="5"/>
      <c r="F30" s="112"/>
      <c r="K30" s="239"/>
      <c r="L30" s="238"/>
    </row>
    <row r="31" spans="1:12" x14ac:dyDescent="0.25">
      <c r="A31" s="100" t="s">
        <v>21</v>
      </c>
      <c r="B31" s="93" t="s">
        <v>137</v>
      </c>
      <c r="C31" s="5"/>
      <c r="D31" s="5"/>
      <c r="F31" s="112"/>
      <c r="K31" s="239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8" t="str">
        <f>IF('Timesheet-Regular'!$D$6="No","",'Timesheet-Regular'!G39)</f>
        <v/>
      </c>
    </row>
    <row r="32" spans="1:12" x14ac:dyDescent="0.25">
      <c r="A32" s="100" t="s">
        <v>144</v>
      </c>
      <c r="B32" s="93" t="s">
        <v>191</v>
      </c>
      <c r="C32" s="5"/>
      <c r="D32" s="5"/>
      <c r="F32" s="112"/>
      <c r="K32" s="239"/>
      <c r="L32" s="238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39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8" t="str">
        <f>IF('Timesheet-Regular'!$D$6="No","",'Timesheet-Regular'!G41)</f>
        <v/>
      </c>
    </row>
    <row r="34" spans="1:12" x14ac:dyDescent="0.25">
      <c r="A34" s="100" t="s">
        <v>192</v>
      </c>
      <c r="B34" s="93" t="s">
        <v>29</v>
      </c>
      <c r="C34" s="5"/>
      <c r="D34" s="5"/>
      <c r="F34" s="112"/>
      <c r="K34" s="239"/>
      <c r="L34" s="238"/>
    </row>
    <row r="35" spans="1:12" x14ac:dyDescent="0.25">
      <c r="A35" s="100" t="s">
        <v>210</v>
      </c>
      <c r="B35" s="93" t="s">
        <v>194</v>
      </c>
      <c r="C35" s="5"/>
      <c r="D35" s="5"/>
      <c r="F35" s="112"/>
      <c r="K35" s="23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8" t="str">
        <f>IF('Timesheet-Regular'!$D$6="No","",'Timesheet-Regular'!G43)</f>
        <v/>
      </c>
    </row>
    <row r="36" spans="1:12" x14ac:dyDescent="0.25">
      <c r="A36" s="100" t="s">
        <v>196</v>
      </c>
      <c r="B36" s="93" t="s">
        <v>175</v>
      </c>
      <c r="C36" s="5"/>
      <c r="D36" s="5"/>
      <c r="F36" s="112"/>
      <c r="K36" s="239"/>
      <c r="L36" s="238"/>
    </row>
    <row r="37" spans="1:12" x14ac:dyDescent="0.25">
      <c r="A37" s="100" t="s">
        <v>211</v>
      </c>
      <c r="B37" s="93" t="s">
        <v>25</v>
      </c>
      <c r="C37" s="5"/>
      <c r="D37" s="5"/>
      <c r="F37" s="112"/>
      <c r="K37" s="23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8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39"/>
      <c r="L38" s="238"/>
    </row>
    <row r="39" spans="1:12" x14ac:dyDescent="0.25">
      <c r="A39" s="100" t="s">
        <v>212</v>
      </c>
      <c r="B39" s="93" t="s">
        <v>85</v>
      </c>
      <c r="F39" s="112"/>
      <c r="K39" s="23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8" t="str">
        <f>IF('Timesheet-Regular'!$D$6="No","",'Timesheet-Regular'!G47)</f>
        <v/>
      </c>
    </row>
    <row r="40" spans="1:12" x14ac:dyDescent="0.25">
      <c r="A40" s="100" t="s">
        <v>218</v>
      </c>
      <c r="B40" s="93" t="s">
        <v>201</v>
      </c>
      <c r="F40" s="112"/>
      <c r="K40" s="239"/>
      <c r="L40" s="238"/>
    </row>
    <row r="41" spans="1:12" x14ac:dyDescent="0.25">
      <c r="A41" s="101" t="s">
        <v>42</v>
      </c>
      <c r="B41" s="93" t="s">
        <v>26</v>
      </c>
      <c r="F41" s="112"/>
      <c r="K41" s="23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8" t="str">
        <f>IF('Timesheet-Regular'!$D$6="No","",'Timesheet-Regular'!G49)</f>
        <v/>
      </c>
    </row>
    <row r="42" spans="1:12" x14ac:dyDescent="0.25">
      <c r="A42" s="101" t="s">
        <v>209</v>
      </c>
      <c r="B42" s="93" t="s">
        <v>127</v>
      </c>
      <c r="F42" s="112"/>
      <c r="K42" s="239"/>
      <c r="L42" s="238"/>
    </row>
    <row r="43" spans="1:12" x14ac:dyDescent="0.25">
      <c r="B43" s="93" t="s">
        <v>27</v>
      </c>
      <c r="F43" s="112"/>
      <c r="K43" s="239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3" s="238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176</v>
      </c>
      <c r="F44" s="112"/>
      <c r="K44" s="239"/>
      <c r="L44" s="238"/>
    </row>
    <row r="45" spans="1:12" x14ac:dyDescent="0.25">
      <c r="A45" s="102"/>
      <c r="B45" s="93" t="s">
        <v>30</v>
      </c>
      <c r="F45" s="112"/>
      <c r="K45" s="239" t="str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/>
      </c>
      <c r="L45" s="238" t="str">
        <f>IF('Timesheet-Regular'!$D$6="No","",'Timesheet-Regular'!G53)</f>
        <v/>
      </c>
    </row>
    <row r="46" spans="1:12" x14ac:dyDescent="0.25">
      <c r="A46" s="102" t="s">
        <v>135</v>
      </c>
      <c r="B46" s="93" t="s">
        <v>224</v>
      </c>
      <c r="F46" s="112"/>
      <c r="K46" s="239"/>
      <c r="L46" s="238"/>
    </row>
    <row r="47" spans="1:12" x14ac:dyDescent="0.25">
      <c r="A47" s="102" t="s">
        <v>32</v>
      </c>
      <c r="B47" s="93" t="s">
        <v>39</v>
      </c>
      <c r="F47" s="112"/>
      <c r="K47" s="23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8" t="str">
        <f>IF('Timesheet-Regular'!$D$6="No","",'Timesheet-Regular'!G55)</f>
        <v/>
      </c>
    </row>
    <row r="48" spans="1:12" x14ac:dyDescent="0.25">
      <c r="A48" s="102" t="s">
        <v>78</v>
      </c>
      <c r="B48" s="93" t="s">
        <v>28</v>
      </c>
      <c r="F48" s="112"/>
      <c r="K48" s="239"/>
      <c r="L48" s="238"/>
    </row>
    <row r="49" spans="1:12" x14ac:dyDescent="0.25">
      <c r="A49" s="102" t="s">
        <v>35</v>
      </c>
      <c r="B49" s="93" t="s">
        <v>210</v>
      </c>
      <c r="F49" s="112"/>
      <c r="K49" s="23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8" t="str">
        <f>IF('Timesheet-Regular'!$D$6="No","",'Timesheet-Regular'!G57)</f>
        <v/>
      </c>
    </row>
    <row r="50" spans="1:12" x14ac:dyDescent="0.25">
      <c r="A50" s="102" t="s">
        <v>136</v>
      </c>
      <c r="B50" s="93" t="s">
        <v>200</v>
      </c>
      <c r="F50" s="112"/>
      <c r="K50" s="239"/>
      <c r="L50" s="238"/>
    </row>
    <row r="51" spans="1:12" x14ac:dyDescent="0.25">
      <c r="A51" s="102" t="s">
        <v>176</v>
      </c>
      <c r="B51" s="93" t="s">
        <v>197</v>
      </c>
      <c r="F51" s="112"/>
      <c r="K51" s="23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8" t="str">
        <f>IF('Timesheet-Regular'!$D$6="No","",'Timesheet-Regular'!G59)</f>
        <v/>
      </c>
    </row>
    <row r="52" spans="1:12" x14ac:dyDescent="0.25">
      <c r="A52" s="102" t="s">
        <v>36</v>
      </c>
      <c r="B52" s="93" t="s">
        <v>205</v>
      </c>
      <c r="F52" s="112"/>
      <c r="K52" s="239"/>
      <c r="L52" s="238"/>
    </row>
    <row r="53" spans="1:12" x14ac:dyDescent="0.25">
      <c r="A53" s="102" t="s">
        <v>174</v>
      </c>
      <c r="B53" s="93" t="s">
        <v>21</v>
      </c>
      <c r="F53" s="112"/>
      <c r="K53" s="239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8" t="str">
        <f>IF('Timesheet-Regular'!$D$6="No","",'Timesheet-Regular'!G61)</f>
        <v/>
      </c>
    </row>
    <row r="54" spans="1:12" x14ac:dyDescent="0.25">
      <c r="A54" s="102" t="s">
        <v>82</v>
      </c>
      <c r="B54" s="93" t="s">
        <v>217</v>
      </c>
      <c r="F54" s="112"/>
      <c r="K54" s="239"/>
      <c r="L54" s="238"/>
    </row>
    <row r="55" spans="1:12" x14ac:dyDescent="0.25">
      <c r="A55" s="102" t="s">
        <v>83</v>
      </c>
      <c r="B55" s="93" t="s">
        <v>203</v>
      </c>
      <c r="F55" s="112"/>
      <c r="K55" s="23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8" t="str">
        <f>IF('Timesheet-Regular'!$D$6="No","",'Timesheet-Regular'!G63)</f>
        <v/>
      </c>
    </row>
    <row r="56" spans="1:12" x14ac:dyDescent="0.25">
      <c r="A56" s="102" t="s">
        <v>38</v>
      </c>
      <c r="B56" s="93" t="s">
        <v>198</v>
      </c>
      <c r="F56" s="112"/>
      <c r="K56" s="239"/>
      <c r="L56" s="238"/>
    </row>
    <row r="57" spans="1:12" x14ac:dyDescent="0.25">
      <c r="A57" s="102"/>
      <c r="B57" s="93" t="s">
        <v>202</v>
      </c>
      <c r="F57" s="112"/>
      <c r="K57" s="239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8" t="str">
        <f>IF('Timesheet-Regular'!$D$6="No","",'Timesheet-Regular'!G65)</f>
        <v/>
      </c>
    </row>
    <row r="58" spans="1:12" x14ac:dyDescent="0.25">
      <c r="A58" s="102" t="s">
        <v>84</v>
      </c>
      <c r="B58" s="93" t="s">
        <v>190</v>
      </c>
      <c r="F58" s="112"/>
      <c r="K58" s="239"/>
      <c r="L58" s="238"/>
    </row>
    <row r="59" spans="1:12" x14ac:dyDescent="0.25">
      <c r="A59" s="102" t="s">
        <v>29</v>
      </c>
      <c r="B59" s="93" t="s">
        <v>145</v>
      </c>
      <c r="F59" s="112"/>
      <c r="K59" s="239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8"/>
    </row>
    <row r="60" spans="1:12" x14ac:dyDescent="0.25">
      <c r="A60" s="102" t="s">
        <v>27</v>
      </c>
      <c r="B60" s="93" t="s">
        <v>193</v>
      </c>
      <c r="F60" s="112"/>
      <c r="K60" s="239"/>
      <c r="L60" s="104"/>
    </row>
    <row r="61" spans="1:12" x14ac:dyDescent="0.25">
      <c r="A61" s="102" t="s">
        <v>39</v>
      </c>
      <c r="B61" s="93" t="s">
        <v>204</v>
      </c>
      <c r="F61" s="112"/>
      <c r="K61" s="23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8" t="str">
        <f>IF('Timesheet-Regular'!$D$6="No","",'Timesheet-Regular'!G67)</f>
        <v/>
      </c>
    </row>
    <row r="62" spans="1:12" x14ac:dyDescent="0.25">
      <c r="A62" s="102" t="s">
        <v>145</v>
      </c>
      <c r="B62" s="93" t="s">
        <v>40</v>
      </c>
      <c r="F62" s="112"/>
      <c r="K62" s="239"/>
      <c r="L62" s="238"/>
    </row>
    <row r="63" spans="1:12" x14ac:dyDescent="0.25">
      <c r="A63" s="102"/>
      <c r="B63" s="93" t="s">
        <v>216</v>
      </c>
      <c r="F63" s="112"/>
      <c r="K63" s="23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8"/>
    </row>
    <row r="64" spans="1:12" x14ac:dyDescent="0.25">
      <c r="A64" s="102" t="s">
        <v>22</v>
      </c>
      <c r="B64" s="93" t="s">
        <v>208</v>
      </c>
      <c r="F64" s="112"/>
      <c r="K64" s="239"/>
      <c r="L64" s="238"/>
    </row>
    <row r="65" spans="1:12" x14ac:dyDescent="0.25">
      <c r="A65" s="102" t="s">
        <v>31</v>
      </c>
      <c r="B65" s="93" t="s">
        <v>218</v>
      </c>
      <c r="F65" s="112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25">
      <c r="A66" s="102" t="s">
        <v>190</v>
      </c>
      <c r="B66" s="93" t="s">
        <v>199</v>
      </c>
      <c r="F66" s="112"/>
      <c r="K66" s="239"/>
      <c r="L66" s="104"/>
    </row>
    <row r="67" spans="1:12" x14ac:dyDescent="0.25">
      <c r="A67" s="102"/>
      <c r="B67" s="93" t="s">
        <v>215</v>
      </c>
      <c r="F67" s="112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25">
      <c r="A68" s="102" t="s">
        <v>41</v>
      </c>
      <c r="B68" s="93" t="s">
        <v>22</v>
      </c>
      <c r="F68" s="112"/>
      <c r="K68" s="239"/>
      <c r="L68" s="238"/>
    </row>
    <row r="69" spans="1:12" x14ac:dyDescent="0.25">
      <c r="A69" s="103" t="s">
        <v>178</v>
      </c>
      <c r="B69" s="93" t="s">
        <v>177</v>
      </c>
      <c r="F69" s="112"/>
      <c r="K69" s="239"/>
      <c r="L69" s="238"/>
    </row>
    <row r="70" spans="1:12" x14ac:dyDescent="0.25">
      <c r="A70" s="99" t="s">
        <v>33</v>
      </c>
      <c r="B70" s="93" t="s">
        <v>31</v>
      </c>
      <c r="F70" s="112"/>
      <c r="K70" s="239"/>
      <c r="L70" s="97"/>
    </row>
    <row r="71" spans="1:12" x14ac:dyDescent="0.25">
      <c r="A71" s="100" t="s">
        <v>17</v>
      </c>
      <c r="B71" s="93" t="s">
        <v>41</v>
      </c>
      <c r="F71" s="112"/>
      <c r="K71" s="239"/>
    </row>
    <row r="72" spans="1:12" x14ac:dyDescent="0.25">
      <c r="A72" s="101" t="s">
        <v>24</v>
      </c>
      <c r="B72" s="93" t="s">
        <v>23</v>
      </c>
      <c r="F72" s="112"/>
      <c r="K72" s="239"/>
    </row>
    <row r="73" spans="1:12" x14ac:dyDescent="0.25">
      <c r="A73" s="101" t="s">
        <v>80</v>
      </c>
      <c r="B73" s="93" t="s">
        <v>144</v>
      </c>
      <c r="F73" s="112"/>
      <c r="K73" s="239"/>
    </row>
    <row r="74" spans="1:12" x14ac:dyDescent="0.25">
      <c r="A74" s="101" t="s">
        <v>18</v>
      </c>
      <c r="B74" s="93" t="s">
        <v>192</v>
      </c>
      <c r="F74" s="112"/>
      <c r="K74" s="239"/>
    </row>
    <row r="75" spans="1:12" x14ac:dyDescent="0.25">
      <c r="A75" s="100" t="s">
        <v>203</v>
      </c>
      <c r="B75" s="93" t="s">
        <v>195</v>
      </c>
      <c r="F75" s="112"/>
      <c r="K75" s="239"/>
    </row>
    <row r="76" spans="1:12" x14ac:dyDescent="0.25">
      <c r="A76" s="99" t="s">
        <v>19</v>
      </c>
      <c r="B76" s="93" t="s">
        <v>196</v>
      </c>
      <c r="F76" s="112"/>
      <c r="K76" s="239"/>
    </row>
    <row r="77" spans="1:12" x14ac:dyDescent="0.25">
      <c r="A77" s="101" t="s">
        <v>202</v>
      </c>
      <c r="B77" s="93" t="s">
        <v>209</v>
      </c>
      <c r="F77" s="112"/>
      <c r="K77" s="239"/>
    </row>
    <row r="78" spans="1:12" x14ac:dyDescent="0.25">
      <c r="A78" s="101" t="s">
        <v>188</v>
      </c>
      <c r="B78" s="93" t="s">
        <v>211</v>
      </c>
      <c r="F78" s="112"/>
      <c r="K78" s="239"/>
    </row>
    <row r="79" spans="1:12" x14ac:dyDescent="0.25">
      <c r="A79" s="101" t="s">
        <v>25</v>
      </c>
      <c r="B79" s="93" t="s">
        <v>42</v>
      </c>
      <c r="F79" s="112"/>
      <c r="K79" s="239"/>
    </row>
    <row r="80" spans="1:12" x14ac:dyDescent="0.25">
      <c r="A80" s="99" t="s">
        <v>20</v>
      </c>
      <c r="B80" s="93"/>
      <c r="F80" s="112"/>
      <c r="K80" s="239"/>
    </row>
    <row r="81" spans="1:11" x14ac:dyDescent="0.25">
      <c r="A81" s="101" t="s">
        <v>85</v>
      </c>
      <c r="F81" s="112"/>
      <c r="K81" s="239"/>
    </row>
    <row r="82" spans="1:11" x14ac:dyDescent="0.25">
      <c r="A82" s="101" t="s">
        <v>201</v>
      </c>
      <c r="F82" s="112"/>
      <c r="K82" s="239"/>
    </row>
    <row r="83" spans="1:11" x14ac:dyDescent="0.25">
      <c r="A83" s="101" t="s">
        <v>209</v>
      </c>
      <c r="F83" s="112"/>
      <c r="K83" s="239"/>
    </row>
    <row r="84" spans="1:11" x14ac:dyDescent="0.25">
      <c r="A84" s="101" t="s">
        <v>219</v>
      </c>
      <c r="F84" s="112"/>
      <c r="K84" s="239"/>
    </row>
    <row r="85" spans="1:11" x14ac:dyDescent="0.25">
      <c r="A85" s="100" t="s">
        <v>27</v>
      </c>
      <c r="F85" s="112"/>
      <c r="K85" s="239"/>
    </row>
    <row r="86" spans="1:11" x14ac:dyDescent="0.25">
      <c r="A86" s="100" t="s">
        <v>204</v>
      </c>
      <c r="F86" s="112"/>
      <c r="K86" s="239"/>
    </row>
    <row r="87" spans="1:11" x14ac:dyDescent="0.25">
      <c r="A87" s="101" t="s">
        <v>224</v>
      </c>
      <c r="F87" s="112"/>
      <c r="K87" s="239"/>
    </row>
    <row r="88" spans="1:11" x14ac:dyDescent="0.25">
      <c r="A88" s="101" t="s">
        <v>79</v>
      </c>
      <c r="F88" s="112"/>
      <c r="K88" s="239"/>
    </row>
    <row r="89" spans="1:11" x14ac:dyDescent="0.25">
      <c r="A89" s="101" t="s">
        <v>26</v>
      </c>
      <c r="F89" s="112"/>
      <c r="K89" s="239"/>
    </row>
    <row r="90" spans="1:11" x14ac:dyDescent="0.25">
      <c r="A90" s="101"/>
      <c r="F90" s="112"/>
      <c r="K90" s="239"/>
    </row>
    <row r="91" spans="1:11" x14ac:dyDescent="0.25">
      <c r="A91" s="101" t="s">
        <v>215</v>
      </c>
      <c r="F91" s="112"/>
      <c r="K91" s="239"/>
    </row>
    <row r="92" spans="1:11" x14ac:dyDescent="0.25">
      <c r="A92" s="101" t="s">
        <v>211</v>
      </c>
      <c r="F92" s="112"/>
      <c r="K92" s="239"/>
    </row>
    <row r="93" spans="1:11" x14ac:dyDescent="0.25">
      <c r="A93" s="101" t="s">
        <v>30</v>
      </c>
      <c r="F93" s="112"/>
      <c r="K93" s="239"/>
    </row>
    <row r="94" spans="1:11" x14ac:dyDescent="0.25">
      <c r="A94" s="101" t="s">
        <v>192</v>
      </c>
      <c r="F94" s="112"/>
      <c r="K94" s="239"/>
    </row>
    <row r="95" spans="1:11" x14ac:dyDescent="0.25">
      <c r="A95" s="101"/>
      <c r="F95" s="112"/>
      <c r="K95" s="239"/>
    </row>
    <row r="96" spans="1:11" x14ac:dyDescent="0.25">
      <c r="A96" s="101" t="s">
        <v>218</v>
      </c>
      <c r="F96" s="112"/>
      <c r="K96" s="239"/>
    </row>
    <row r="97" spans="1:11" x14ac:dyDescent="0.25">
      <c r="A97" s="101" t="s">
        <v>196</v>
      </c>
      <c r="F97" s="112"/>
      <c r="K97" s="239"/>
    </row>
    <row r="98" spans="1:11" x14ac:dyDescent="0.25">
      <c r="A98" s="101" t="s">
        <v>212</v>
      </c>
      <c r="F98" s="112"/>
      <c r="K98" s="239"/>
    </row>
    <row r="99" spans="1:11" x14ac:dyDescent="0.25">
      <c r="A99" s="100" t="s">
        <v>21</v>
      </c>
      <c r="F99" s="112"/>
      <c r="K99" s="239"/>
    </row>
    <row r="100" spans="1:11" x14ac:dyDescent="0.25">
      <c r="A100" s="100" t="s">
        <v>40</v>
      </c>
      <c r="F100" s="112"/>
      <c r="K100" s="239"/>
    </row>
    <row r="101" spans="1:11" x14ac:dyDescent="0.25">
      <c r="A101" s="101" t="s">
        <v>144</v>
      </c>
      <c r="F101" s="112"/>
      <c r="K101" s="239"/>
    </row>
    <row r="102" spans="1:11" x14ac:dyDescent="0.25">
      <c r="A102" s="101" t="s">
        <v>23</v>
      </c>
      <c r="F102" s="112"/>
      <c r="K102" s="239"/>
    </row>
    <row r="103" spans="1:11" x14ac:dyDescent="0.25">
      <c r="A103" s="101" t="s">
        <v>217</v>
      </c>
      <c r="F103" s="112"/>
      <c r="K103" s="239"/>
    </row>
    <row r="104" spans="1:11" x14ac:dyDescent="0.25">
      <c r="A104" s="101"/>
      <c r="F104" s="112"/>
      <c r="K104" s="239"/>
    </row>
    <row r="105" spans="1:11" x14ac:dyDescent="0.25">
      <c r="F105" s="112"/>
      <c r="K105" s="239"/>
    </row>
    <row r="106" spans="1:11" x14ac:dyDescent="0.25">
      <c r="F106" s="112"/>
      <c r="K106" s="239"/>
    </row>
    <row r="107" spans="1:11" x14ac:dyDescent="0.25">
      <c r="F107" s="112"/>
      <c r="K107" s="239"/>
    </row>
    <row r="108" spans="1:11" x14ac:dyDescent="0.25">
      <c r="F108" s="112"/>
      <c r="K108" s="239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wYT8O1wHoqazltsnjstpv+NrrzDM76UxCeu8aJKjntkWn98uJyK5lkK4SKjCD5f7Js6pj3fj4JHmjrwuKxduSA==" saltValue="Rjl5r+NfT/hvJnzKOyAuZg==" spinCount="100000" sheet="1" objects="1" scenarios="1"/>
  <sortState xmlns:xlrd2="http://schemas.microsoft.com/office/spreadsheetml/2017/richdata2"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75" x14ac:dyDescent="0.25">
      <c r="A4" s="203">
        <f>'Timesheet-Regular'!C11</f>
        <v>44682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0">
        <f>SUM(Sheet2!D4:D5)</f>
        <v>0</v>
      </c>
      <c r="I4" s="207"/>
      <c r="J4" s="208"/>
      <c r="K4" s="208"/>
      <c r="L4" s="208"/>
      <c r="M4" s="208"/>
      <c r="N4" s="208"/>
      <c r="O4" s="208"/>
      <c r="P4" s="209"/>
    </row>
    <row r="5" spans="1:17" ht="15.75" x14ac:dyDescent="0.25">
      <c r="A5" s="204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1"/>
      <c r="I5" s="207"/>
      <c r="J5" s="208"/>
      <c r="K5" s="208"/>
      <c r="L5" s="208"/>
      <c r="M5" s="208"/>
      <c r="N5" s="208"/>
      <c r="O5" s="208"/>
      <c r="P5" s="209"/>
    </row>
    <row r="6" spans="1:17" ht="15.75" x14ac:dyDescent="0.25">
      <c r="A6" s="203">
        <f>'Timesheet-Regular'!C13</f>
        <v>44683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0">
        <f>SUM(Sheet2!D6:D7)</f>
        <v>0</v>
      </c>
      <c r="I6" s="207"/>
      <c r="J6" s="208"/>
      <c r="K6" s="208"/>
      <c r="L6" s="208"/>
      <c r="M6" s="208"/>
      <c r="N6" s="208"/>
      <c r="O6" s="208"/>
      <c r="P6" s="209"/>
    </row>
    <row r="7" spans="1:17" ht="15.75" x14ac:dyDescent="0.25">
      <c r="A7" s="204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1"/>
      <c r="I7" s="207"/>
      <c r="J7" s="208"/>
      <c r="K7" s="208"/>
      <c r="L7" s="208"/>
      <c r="M7" s="208"/>
      <c r="N7" s="208"/>
      <c r="O7" s="208"/>
      <c r="P7" s="209"/>
      <c r="Q7" s="84"/>
    </row>
    <row r="8" spans="1:17" ht="15.75" x14ac:dyDescent="0.25">
      <c r="A8" s="203">
        <f>'Timesheet-Regular'!C15</f>
        <v>44684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0">
        <f>SUM(Sheet2!D8:D9)</f>
        <v>0</v>
      </c>
      <c r="I8" s="207"/>
      <c r="J8" s="208"/>
      <c r="K8" s="208"/>
      <c r="L8" s="208"/>
      <c r="M8" s="208"/>
      <c r="N8" s="208"/>
      <c r="O8" s="208"/>
      <c r="P8" s="209"/>
      <c r="Q8" s="84"/>
    </row>
    <row r="9" spans="1:17" ht="15.75" x14ac:dyDescent="0.25">
      <c r="A9" s="204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1"/>
      <c r="I9" s="207"/>
      <c r="J9" s="208"/>
      <c r="K9" s="208"/>
      <c r="L9" s="208"/>
      <c r="M9" s="208"/>
      <c r="N9" s="208"/>
      <c r="O9" s="208"/>
      <c r="P9" s="209"/>
    </row>
    <row r="10" spans="1:17" ht="15.75" x14ac:dyDescent="0.25">
      <c r="A10" s="203">
        <f>'Timesheet-Regular'!C17</f>
        <v>44685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0">
        <f>SUM(Sheet2!D10:D11)</f>
        <v>0</v>
      </c>
      <c r="I10" s="207"/>
      <c r="J10" s="208"/>
      <c r="K10" s="208"/>
      <c r="L10" s="208"/>
      <c r="M10" s="208"/>
      <c r="N10" s="208"/>
      <c r="O10" s="208"/>
      <c r="P10" s="209"/>
    </row>
    <row r="11" spans="1:17" ht="15.75" x14ac:dyDescent="0.25">
      <c r="A11" s="204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1"/>
      <c r="I11" s="207"/>
      <c r="J11" s="208"/>
      <c r="K11" s="208"/>
      <c r="L11" s="208"/>
      <c r="M11" s="208"/>
      <c r="N11" s="208"/>
      <c r="O11" s="208"/>
      <c r="P11" s="209"/>
    </row>
    <row r="12" spans="1:17" ht="15.75" x14ac:dyDescent="0.25">
      <c r="A12" s="203">
        <f>'Timesheet-Regular'!C19</f>
        <v>44686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0">
        <f>SUM(Sheet2!D12:D13)</f>
        <v>0</v>
      </c>
      <c r="I12" s="207"/>
      <c r="J12" s="208"/>
      <c r="K12" s="208"/>
      <c r="L12" s="208"/>
      <c r="M12" s="208"/>
      <c r="N12" s="208"/>
      <c r="O12" s="208"/>
      <c r="P12" s="209"/>
    </row>
    <row r="13" spans="1:17" ht="15.75" x14ac:dyDescent="0.25">
      <c r="A13" s="204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1"/>
      <c r="I13" s="207"/>
      <c r="J13" s="208"/>
      <c r="K13" s="208"/>
      <c r="L13" s="208"/>
      <c r="M13" s="208"/>
      <c r="N13" s="208"/>
      <c r="O13" s="208"/>
      <c r="P13" s="209"/>
    </row>
    <row r="14" spans="1:17" ht="15.75" x14ac:dyDescent="0.25">
      <c r="A14" s="203">
        <f>'Timesheet-Regular'!C21</f>
        <v>44687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0">
        <f>SUM(Sheet2!D14:D15)</f>
        <v>0</v>
      </c>
      <c r="I14" s="207"/>
      <c r="J14" s="208"/>
      <c r="K14" s="208"/>
      <c r="L14" s="208"/>
      <c r="M14" s="208"/>
      <c r="N14" s="208"/>
      <c r="O14" s="208"/>
      <c r="P14" s="209"/>
    </row>
    <row r="15" spans="1:17" ht="15.75" x14ac:dyDescent="0.25">
      <c r="A15" s="204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1"/>
      <c r="I15" s="207"/>
      <c r="J15" s="208"/>
      <c r="K15" s="208"/>
      <c r="L15" s="208"/>
      <c r="M15" s="208"/>
      <c r="N15" s="208"/>
      <c r="O15" s="208"/>
      <c r="P15" s="209"/>
    </row>
    <row r="16" spans="1:17" ht="15.75" x14ac:dyDescent="0.25">
      <c r="A16" s="203">
        <f>'Timesheet-Regular'!C23</f>
        <v>44688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0">
        <f>SUM(Sheet2!D16:D17)</f>
        <v>0</v>
      </c>
      <c r="I16" s="207"/>
      <c r="J16" s="208"/>
      <c r="K16" s="208"/>
      <c r="L16" s="208"/>
      <c r="M16" s="208"/>
      <c r="N16" s="208"/>
      <c r="O16" s="208"/>
      <c r="P16" s="209"/>
    </row>
    <row r="17" spans="1:16" ht="15.75" x14ac:dyDescent="0.25">
      <c r="A17" s="204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1"/>
      <c r="I17" s="207"/>
      <c r="J17" s="208"/>
      <c r="K17" s="208"/>
      <c r="L17" s="208"/>
      <c r="M17" s="208"/>
      <c r="N17" s="208"/>
      <c r="O17" s="208"/>
      <c r="P17" s="209"/>
    </row>
    <row r="18" spans="1:16" ht="15.75" x14ac:dyDescent="0.25">
      <c r="A18" s="203">
        <f>'Timesheet-Regular'!C25</f>
        <v>44689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0">
        <f>SUM(Sheet2!D18:D19)</f>
        <v>0</v>
      </c>
      <c r="I18" s="207"/>
      <c r="J18" s="208"/>
      <c r="K18" s="208"/>
      <c r="L18" s="208"/>
      <c r="M18" s="208"/>
      <c r="N18" s="208"/>
      <c r="O18" s="208"/>
      <c r="P18" s="209"/>
    </row>
    <row r="19" spans="1:16" ht="15.75" x14ac:dyDescent="0.25">
      <c r="A19" s="204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1"/>
      <c r="I19" s="207"/>
      <c r="J19" s="208"/>
      <c r="K19" s="208"/>
      <c r="L19" s="208"/>
      <c r="M19" s="208"/>
      <c r="N19" s="208"/>
      <c r="O19" s="208"/>
      <c r="P19" s="209"/>
    </row>
    <row r="20" spans="1:16" ht="15.75" x14ac:dyDescent="0.25">
      <c r="A20" s="203">
        <f>'Timesheet-Regular'!C27</f>
        <v>44690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0">
        <f>SUM(Sheet2!D20:D21)</f>
        <v>0</v>
      </c>
      <c r="I20" s="207"/>
      <c r="J20" s="208"/>
      <c r="K20" s="208"/>
      <c r="L20" s="208"/>
      <c r="M20" s="208"/>
      <c r="N20" s="208"/>
      <c r="O20" s="208"/>
      <c r="P20" s="209"/>
    </row>
    <row r="21" spans="1:16" ht="15.75" x14ac:dyDescent="0.25">
      <c r="A21" s="204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1"/>
      <c r="I21" s="207"/>
      <c r="J21" s="208"/>
      <c r="K21" s="208"/>
      <c r="L21" s="208"/>
      <c r="M21" s="208"/>
      <c r="N21" s="208"/>
      <c r="O21" s="208"/>
      <c r="P21" s="209"/>
    </row>
    <row r="22" spans="1:16" ht="15.75" x14ac:dyDescent="0.25">
      <c r="A22" s="203">
        <f>'Timesheet-Regular'!C29</f>
        <v>44691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0">
        <f>SUM(Sheet2!D22:D23)</f>
        <v>0</v>
      </c>
      <c r="I22" s="207"/>
      <c r="J22" s="208"/>
      <c r="K22" s="208"/>
      <c r="L22" s="208"/>
      <c r="M22" s="208"/>
      <c r="N22" s="208"/>
      <c r="O22" s="208"/>
      <c r="P22" s="209"/>
    </row>
    <row r="23" spans="1:16" ht="15.75" x14ac:dyDescent="0.25">
      <c r="A23" s="204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1"/>
      <c r="I23" s="207"/>
      <c r="J23" s="208"/>
      <c r="K23" s="208"/>
      <c r="L23" s="208"/>
      <c r="M23" s="208"/>
      <c r="N23" s="208"/>
      <c r="O23" s="208"/>
      <c r="P23" s="209"/>
    </row>
    <row r="24" spans="1:16" ht="15.75" x14ac:dyDescent="0.25">
      <c r="A24" s="203">
        <f>'Timesheet-Regular'!C31</f>
        <v>44692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0">
        <f>SUM(Sheet2!D24:D25)</f>
        <v>0</v>
      </c>
      <c r="I24" s="207"/>
      <c r="J24" s="208"/>
      <c r="K24" s="208"/>
      <c r="L24" s="208"/>
      <c r="M24" s="208"/>
      <c r="N24" s="208"/>
      <c r="O24" s="208"/>
      <c r="P24" s="209"/>
    </row>
    <row r="25" spans="1:16" ht="15.75" x14ac:dyDescent="0.25">
      <c r="A25" s="204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1"/>
      <c r="I25" s="207"/>
      <c r="J25" s="208"/>
      <c r="K25" s="208"/>
      <c r="L25" s="208"/>
      <c r="M25" s="208"/>
      <c r="N25" s="208"/>
      <c r="O25" s="208"/>
      <c r="P25" s="209"/>
    </row>
    <row r="26" spans="1:16" ht="15.75" x14ac:dyDescent="0.25">
      <c r="A26" s="203">
        <f>'Timesheet-Regular'!C33</f>
        <v>44693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0">
        <f>SUM(Sheet2!D26:D27)</f>
        <v>0</v>
      </c>
      <c r="I26" s="207"/>
      <c r="J26" s="208"/>
      <c r="K26" s="208"/>
      <c r="L26" s="208"/>
      <c r="M26" s="208"/>
      <c r="N26" s="208"/>
      <c r="O26" s="208"/>
      <c r="P26" s="209"/>
    </row>
    <row r="27" spans="1:16" ht="15.75" x14ac:dyDescent="0.25">
      <c r="A27" s="204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1"/>
      <c r="I27" s="207"/>
      <c r="J27" s="208"/>
      <c r="K27" s="208"/>
      <c r="L27" s="208"/>
      <c r="M27" s="208"/>
      <c r="N27" s="208"/>
      <c r="O27" s="208"/>
      <c r="P27" s="209"/>
    </row>
    <row r="28" spans="1:16" ht="15.75" x14ac:dyDescent="0.25">
      <c r="A28" s="203">
        <f>'Timesheet-Regular'!C35</f>
        <v>44694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0">
        <f>SUM(Sheet2!D28:D29)</f>
        <v>0</v>
      </c>
      <c r="I28" s="207"/>
      <c r="J28" s="208"/>
      <c r="K28" s="208"/>
      <c r="L28" s="208"/>
      <c r="M28" s="208"/>
      <c r="N28" s="208"/>
      <c r="O28" s="208"/>
      <c r="P28" s="209"/>
    </row>
    <row r="29" spans="1:16" ht="15.75" x14ac:dyDescent="0.25">
      <c r="A29" s="204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1"/>
      <c r="I29" s="207"/>
      <c r="J29" s="208"/>
      <c r="K29" s="208"/>
      <c r="L29" s="208"/>
      <c r="M29" s="208"/>
      <c r="N29" s="208"/>
      <c r="O29" s="208"/>
      <c r="P29" s="209"/>
    </row>
    <row r="30" spans="1:16" ht="15.75" x14ac:dyDescent="0.25">
      <c r="A30" s="203">
        <f>'Timesheet-Regular'!C37</f>
        <v>44695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0">
        <f>SUM(Sheet2!D30:D31)</f>
        <v>0</v>
      </c>
      <c r="I30" s="207"/>
      <c r="J30" s="208"/>
      <c r="K30" s="208"/>
      <c r="L30" s="208"/>
      <c r="M30" s="208"/>
      <c r="N30" s="208"/>
      <c r="O30" s="208"/>
      <c r="P30" s="209"/>
    </row>
    <row r="31" spans="1:16" ht="15.75" x14ac:dyDescent="0.25">
      <c r="A31" s="204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1"/>
      <c r="I31" s="207"/>
      <c r="J31" s="208"/>
      <c r="K31" s="208"/>
      <c r="L31" s="208"/>
      <c r="M31" s="208"/>
      <c r="N31" s="208"/>
      <c r="O31" s="208"/>
      <c r="P31" s="209"/>
    </row>
    <row r="32" spans="1:16" ht="15.75" x14ac:dyDescent="0.25">
      <c r="A32" s="203">
        <f>'Timesheet-Regular'!C39</f>
        <v>44696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0">
        <f>SUM(Sheet2!D32:D33)</f>
        <v>0</v>
      </c>
      <c r="I32" s="207"/>
      <c r="J32" s="208"/>
      <c r="K32" s="208"/>
      <c r="L32" s="208"/>
      <c r="M32" s="208"/>
      <c r="N32" s="208"/>
      <c r="O32" s="208"/>
      <c r="P32" s="209"/>
    </row>
    <row r="33" spans="1:16" ht="15.75" x14ac:dyDescent="0.25">
      <c r="A33" s="204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1"/>
      <c r="I33" s="207"/>
      <c r="J33" s="208"/>
      <c r="K33" s="208"/>
      <c r="L33" s="208"/>
      <c r="M33" s="208"/>
      <c r="N33" s="208"/>
      <c r="O33" s="208"/>
      <c r="P33" s="209"/>
    </row>
    <row r="34" spans="1:16" ht="15.75" x14ac:dyDescent="0.25">
      <c r="A34" s="203">
        <f>'Timesheet-Regular'!C41</f>
        <v>44697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0">
        <f>SUM(Sheet2!D34:D35)</f>
        <v>0</v>
      </c>
      <c r="I34" s="207"/>
      <c r="J34" s="208"/>
      <c r="K34" s="208"/>
      <c r="L34" s="208"/>
      <c r="M34" s="208"/>
      <c r="N34" s="208"/>
      <c r="O34" s="208"/>
      <c r="P34" s="209"/>
    </row>
    <row r="35" spans="1:16" ht="15.75" x14ac:dyDescent="0.25">
      <c r="A35" s="204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1"/>
      <c r="I35" s="207"/>
      <c r="J35" s="208"/>
      <c r="K35" s="208"/>
      <c r="L35" s="208"/>
      <c r="M35" s="208"/>
      <c r="N35" s="208"/>
      <c r="O35" s="208"/>
      <c r="P35" s="209"/>
    </row>
    <row r="36" spans="1:16" ht="15.75" x14ac:dyDescent="0.25">
      <c r="A36" s="203">
        <f>'Timesheet-Regular'!C43</f>
        <v>44698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0">
        <f>SUM(Sheet2!D36:D37)</f>
        <v>0</v>
      </c>
      <c r="I36" s="207"/>
      <c r="J36" s="208"/>
      <c r="K36" s="208"/>
      <c r="L36" s="208"/>
      <c r="M36" s="208"/>
      <c r="N36" s="208"/>
      <c r="O36" s="208"/>
      <c r="P36" s="209"/>
    </row>
    <row r="37" spans="1:16" ht="15.75" x14ac:dyDescent="0.25">
      <c r="A37" s="204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1"/>
      <c r="I37" s="207"/>
      <c r="J37" s="208"/>
      <c r="K37" s="208"/>
      <c r="L37" s="208"/>
      <c r="M37" s="208"/>
      <c r="N37" s="208"/>
      <c r="O37" s="208"/>
      <c r="P37" s="209"/>
    </row>
    <row r="38" spans="1:16" ht="15.75" x14ac:dyDescent="0.25">
      <c r="A38" s="203">
        <f>'Timesheet-Regular'!C45</f>
        <v>44699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0">
        <f>SUM(Sheet2!D38:D39)</f>
        <v>0</v>
      </c>
      <c r="I38" s="207"/>
      <c r="J38" s="208"/>
      <c r="K38" s="208"/>
      <c r="L38" s="208"/>
      <c r="M38" s="208"/>
      <c r="N38" s="208"/>
      <c r="O38" s="208"/>
      <c r="P38" s="209"/>
    </row>
    <row r="39" spans="1:16" ht="15.75" x14ac:dyDescent="0.25">
      <c r="A39" s="204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1"/>
      <c r="I39" s="207"/>
      <c r="J39" s="208"/>
      <c r="K39" s="208"/>
      <c r="L39" s="208"/>
      <c r="M39" s="208"/>
      <c r="N39" s="208"/>
      <c r="O39" s="208"/>
      <c r="P39" s="209"/>
    </row>
    <row r="40" spans="1:16" ht="15.75" x14ac:dyDescent="0.25">
      <c r="A40" s="203">
        <f>'Timesheet-Regular'!C47</f>
        <v>44700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0">
        <f>SUM(Sheet2!D40:D41)</f>
        <v>0</v>
      </c>
      <c r="I40" s="207"/>
      <c r="J40" s="208"/>
      <c r="K40" s="208"/>
      <c r="L40" s="208"/>
      <c r="M40" s="208"/>
      <c r="N40" s="208"/>
      <c r="O40" s="208"/>
      <c r="P40" s="209"/>
    </row>
    <row r="41" spans="1:16" ht="15.75" x14ac:dyDescent="0.25">
      <c r="A41" s="204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1"/>
      <c r="I41" s="207"/>
      <c r="J41" s="208"/>
      <c r="K41" s="208"/>
      <c r="L41" s="208"/>
      <c r="M41" s="208"/>
      <c r="N41" s="208"/>
      <c r="O41" s="208"/>
      <c r="P41" s="209"/>
    </row>
    <row r="42" spans="1:16" ht="15.75" x14ac:dyDescent="0.25">
      <c r="A42" s="203">
        <f>'Timesheet-Regular'!C49</f>
        <v>44701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0">
        <f>SUM(Sheet2!D42:D43)</f>
        <v>0</v>
      </c>
      <c r="I42" s="207"/>
      <c r="J42" s="208"/>
      <c r="K42" s="208"/>
      <c r="L42" s="208"/>
      <c r="M42" s="208"/>
      <c r="N42" s="208"/>
      <c r="O42" s="208"/>
      <c r="P42" s="209"/>
    </row>
    <row r="43" spans="1:16" ht="15.75" x14ac:dyDescent="0.25">
      <c r="A43" s="204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1"/>
      <c r="I43" s="207"/>
      <c r="J43" s="208"/>
      <c r="K43" s="208"/>
      <c r="L43" s="208"/>
      <c r="M43" s="208"/>
      <c r="N43" s="208"/>
      <c r="O43" s="208"/>
      <c r="P43" s="209"/>
    </row>
    <row r="44" spans="1:16" ht="15.75" x14ac:dyDescent="0.25">
      <c r="A44" s="203">
        <f>'Timesheet-Regular'!C51</f>
        <v>44702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0">
        <f>SUM(Sheet2!D44:D45)</f>
        <v>0</v>
      </c>
      <c r="I44" s="207"/>
      <c r="J44" s="208"/>
      <c r="K44" s="208"/>
      <c r="L44" s="208"/>
      <c r="M44" s="208"/>
      <c r="N44" s="208"/>
      <c r="O44" s="208"/>
      <c r="P44" s="209"/>
    </row>
    <row r="45" spans="1:16" ht="15.75" x14ac:dyDescent="0.25">
      <c r="A45" s="204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1"/>
      <c r="I45" s="207"/>
      <c r="J45" s="208"/>
      <c r="K45" s="208"/>
      <c r="L45" s="208"/>
      <c r="M45" s="208"/>
      <c r="N45" s="208"/>
      <c r="O45" s="208"/>
      <c r="P45" s="209"/>
    </row>
    <row r="46" spans="1:16" ht="15.75" x14ac:dyDescent="0.25">
      <c r="A46" s="203">
        <f>'Timesheet-Regular'!C53</f>
        <v>44703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0">
        <f>SUM(Sheet2!D46:D47)</f>
        <v>0</v>
      </c>
      <c r="I46" s="207"/>
      <c r="J46" s="208"/>
      <c r="K46" s="208"/>
      <c r="L46" s="208"/>
      <c r="M46" s="208"/>
      <c r="N46" s="208"/>
      <c r="O46" s="208"/>
      <c r="P46" s="209"/>
    </row>
    <row r="47" spans="1:16" ht="15.75" x14ac:dyDescent="0.25">
      <c r="A47" s="204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1"/>
      <c r="I47" s="207"/>
      <c r="J47" s="208"/>
      <c r="K47" s="208"/>
      <c r="L47" s="208"/>
      <c r="M47" s="208"/>
      <c r="N47" s="208"/>
      <c r="O47" s="208"/>
      <c r="P47" s="209"/>
    </row>
    <row r="48" spans="1:16" ht="15.75" x14ac:dyDescent="0.25">
      <c r="A48" s="203">
        <f>'Timesheet-Regular'!C55</f>
        <v>44704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0">
        <f>SUM(Sheet2!D48:D49)</f>
        <v>0</v>
      </c>
      <c r="I48" s="207"/>
      <c r="J48" s="208"/>
      <c r="K48" s="208"/>
      <c r="L48" s="208"/>
      <c r="M48" s="208"/>
      <c r="N48" s="208"/>
      <c r="O48" s="208"/>
      <c r="P48" s="209"/>
    </row>
    <row r="49" spans="1:16" ht="15.75" x14ac:dyDescent="0.25">
      <c r="A49" s="204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1"/>
      <c r="I49" s="207"/>
      <c r="J49" s="208"/>
      <c r="K49" s="208"/>
      <c r="L49" s="208"/>
      <c r="M49" s="208"/>
      <c r="N49" s="208"/>
      <c r="O49" s="208"/>
      <c r="P49" s="209"/>
    </row>
    <row r="50" spans="1:16" ht="15.75" x14ac:dyDescent="0.25">
      <c r="A50" s="203">
        <f>'Timesheet-Regular'!C57</f>
        <v>44705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0">
        <f>SUM(Sheet2!D50:D51)</f>
        <v>0</v>
      </c>
      <c r="I50" s="207"/>
      <c r="J50" s="208"/>
      <c r="K50" s="208"/>
      <c r="L50" s="208"/>
      <c r="M50" s="208"/>
      <c r="N50" s="208"/>
      <c r="O50" s="208"/>
      <c r="P50" s="209"/>
    </row>
    <row r="51" spans="1:16" ht="15.75" x14ac:dyDescent="0.25">
      <c r="A51" s="204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1"/>
      <c r="I51" s="207"/>
      <c r="J51" s="208"/>
      <c r="K51" s="208"/>
      <c r="L51" s="208"/>
      <c r="M51" s="208"/>
      <c r="N51" s="208"/>
      <c r="O51" s="208"/>
      <c r="P51" s="209"/>
    </row>
    <row r="52" spans="1:16" ht="15.75" x14ac:dyDescent="0.25">
      <c r="A52" s="203">
        <f>'Timesheet-Regular'!C59</f>
        <v>44706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0">
        <f>SUM(Sheet2!D52:D53)</f>
        <v>0</v>
      </c>
      <c r="I52" s="207"/>
      <c r="J52" s="208"/>
      <c r="K52" s="208"/>
      <c r="L52" s="208"/>
      <c r="M52" s="208"/>
      <c r="N52" s="208"/>
      <c r="O52" s="208"/>
      <c r="P52" s="209"/>
    </row>
    <row r="53" spans="1:16" ht="15.75" x14ac:dyDescent="0.25">
      <c r="A53" s="204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1"/>
      <c r="I53" s="207"/>
      <c r="J53" s="208"/>
      <c r="K53" s="208"/>
      <c r="L53" s="208"/>
      <c r="M53" s="208"/>
      <c r="N53" s="208"/>
      <c r="O53" s="208"/>
      <c r="P53" s="209"/>
    </row>
    <row r="54" spans="1:16" ht="15.75" x14ac:dyDescent="0.25">
      <c r="A54" s="203">
        <f>'Timesheet-Regular'!C61</f>
        <v>44707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0">
        <f>SUM(Sheet2!D54:D55)</f>
        <v>0</v>
      </c>
      <c r="I54" s="207"/>
      <c r="J54" s="208"/>
      <c r="K54" s="208"/>
      <c r="L54" s="208"/>
      <c r="M54" s="208"/>
      <c r="N54" s="208"/>
      <c r="O54" s="208"/>
      <c r="P54" s="209"/>
    </row>
    <row r="55" spans="1:16" ht="15.75" x14ac:dyDescent="0.25">
      <c r="A55" s="204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1"/>
      <c r="I55" s="207"/>
      <c r="J55" s="208"/>
      <c r="K55" s="208"/>
      <c r="L55" s="208"/>
      <c r="M55" s="208"/>
      <c r="N55" s="208"/>
      <c r="O55" s="208"/>
      <c r="P55" s="209"/>
    </row>
    <row r="56" spans="1:16" ht="15.75" x14ac:dyDescent="0.25">
      <c r="A56" s="203">
        <f>'Timesheet-Regular'!C63</f>
        <v>44708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0">
        <f>SUM(Sheet2!D56:D57)</f>
        <v>0</v>
      </c>
      <c r="I56" s="207"/>
      <c r="J56" s="208"/>
      <c r="K56" s="208"/>
      <c r="L56" s="208"/>
      <c r="M56" s="208"/>
      <c r="N56" s="208"/>
      <c r="O56" s="208"/>
      <c r="P56" s="209"/>
    </row>
    <row r="57" spans="1:16" ht="15.75" x14ac:dyDescent="0.25">
      <c r="A57" s="204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1"/>
      <c r="I57" s="207"/>
      <c r="J57" s="208"/>
      <c r="K57" s="208"/>
      <c r="L57" s="208"/>
      <c r="M57" s="208"/>
      <c r="N57" s="208"/>
      <c r="O57" s="208"/>
      <c r="P57" s="209"/>
    </row>
    <row r="58" spans="1:16" ht="15.75" x14ac:dyDescent="0.25">
      <c r="A58" s="203">
        <f>'Timesheet-Regular'!C65</f>
        <v>44709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0">
        <f>SUM(Sheet2!D58:D59)</f>
        <v>0</v>
      </c>
      <c r="I58" s="207"/>
      <c r="J58" s="208"/>
      <c r="K58" s="208"/>
      <c r="L58" s="208"/>
      <c r="M58" s="208"/>
      <c r="N58" s="208"/>
      <c r="O58" s="208"/>
      <c r="P58" s="209"/>
    </row>
    <row r="59" spans="1:16" ht="15.75" x14ac:dyDescent="0.25">
      <c r="A59" s="204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1"/>
      <c r="I59" s="207"/>
      <c r="J59" s="208"/>
      <c r="K59" s="208"/>
      <c r="L59" s="208"/>
      <c r="M59" s="208"/>
      <c r="N59" s="208"/>
      <c r="O59" s="208"/>
      <c r="P59" s="209"/>
    </row>
    <row r="60" spans="1:16" ht="15.75" x14ac:dyDescent="0.25">
      <c r="A60" s="203">
        <f>'Timesheet-Regular'!C67</f>
        <v>44710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0">
        <f>SUM(Sheet2!D60:D61)</f>
        <v>0</v>
      </c>
      <c r="I60" s="207"/>
      <c r="J60" s="208"/>
      <c r="K60" s="208"/>
      <c r="L60" s="208"/>
      <c r="M60" s="208"/>
      <c r="N60" s="208"/>
      <c r="O60" s="208"/>
      <c r="P60" s="209"/>
    </row>
    <row r="61" spans="1:16" ht="15.75" x14ac:dyDescent="0.25">
      <c r="A61" s="204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1"/>
      <c r="I61" s="207"/>
      <c r="J61" s="208"/>
      <c r="K61" s="208"/>
      <c r="L61" s="208"/>
      <c r="M61" s="208"/>
      <c r="N61" s="208"/>
      <c r="O61" s="208"/>
      <c r="P61" s="209"/>
    </row>
    <row r="62" spans="1:16" ht="15.75" x14ac:dyDescent="0.25">
      <c r="A62" s="203">
        <f>'Timesheet-Regular'!C69</f>
        <v>44711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0">
        <f>SUM(Sheet2!D62:D63)</f>
        <v>0</v>
      </c>
      <c r="I62" s="207"/>
      <c r="J62" s="208"/>
      <c r="K62" s="208"/>
      <c r="L62" s="208"/>
      <c r="M62" s="208"/>
      <c r="N62" s="208"/>
      <c r="O62" s="208"/>
      <c r="P62" s="209"/>
    </row>
    <row r="63" spans="1:16" ht="15.75" x14ac:dyDescent="0.25">
      <c r="A63" s="204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1"/>
      <c r="I63" s="207"/>
      <c r="J63" s="208"/>
      <c r="K63" s="208"/>
      <c r="L63" s="208"/>
      <c r="M63" s="208"/>
      <c r="N63" s="208"/>
      <c r="O63" s="208"/>
      <c r="P63" s="209"/>
    </row>
    <row r="64" spans="1:16" ht="15.75" x14ac:dyDescent="0.25">
      <c r="A64" s="203">
        <f>'Timesheet-Regular'!C71</f>
        <v>44712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0">
        <f>SUM(Sheet2!D64:D65)</f>
        <v>0</v>
      </c>
      <c r="I64" s="207"/>
      <c r="J64" s="208"/>
      <c r="K64" s="208"/>
      <c r="L64" s="208"/>
      <c r="M64" s="208"/>
      <c r="N64" s="208"/>
      <c r="O64" s="208"/>
      <c r="P64" s="209"/>
    </row>
    <row r="65" spans="1:16" ht="15.75" x14ac:dyDescent="0.25">
      <c r="A65" s="204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1"/>
      <c r="I65" s="207"/>
      <c r="J65" s="208"/>
      <c r="K65" s="208"/>
      <c r="L65" s="208"/>
      <c r="M65" s="208"/>
      <c r="N65" s="208"/>
      <c r="O65" s="208"/>
      <c r="P65" s="209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2022-04-21T06:20:13Z</cp:lastPrinted>
  <dcterms:created xsi:type="dcterms:W3CDTF">2015-10-01T08:51:08Z</dcterms:created>
  <dcterms:modified xsi:type="dcterms:W3CDTF">2022-04-25T04:58:23Z</dcterms:modified>
</cp:coreProperties>
</file>